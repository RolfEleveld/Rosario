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lfe\GIT\Rosario\"/>
    </mc:Choice>
  </mc:AlternateContent>
  <xr:revisionPtr revIDLastSave="0" documentId="13_ncr:1_{1A2C5C1E-9B11-461F-9A3F-33D4D8E30F42}" xr6:coauthVersionLast="47" xr6:coauthVersionMax="47" xr10:uidLastSave="{00000000-0000-0000-0000-000000000000}"/>
  <bookViews>
    <workbookView xWindow="3720" yWindow="2160" windowWidth="21930" windowHeight="11385" xr2:uid="{84370AB4-695A-471E-868C-491694FFA306}"/>
  </bookViews>
  <sheets>
    <sheet name="Manifest" sheetId="3" r:id="rId1"/>
  </sheets>
  <definedNames>
    <definedName name="ExternalData_1" localSheetId="0" hidden="1">Manifest!$A$1:$C$643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1" i="3" l="1"/>
  <c r="F442" i="3" s="1"/>
  <c r="F443" i="3" s="1"/>
  <c r="F444" i="3" s="1"/>
  <c r="F445" i="3" s="1"/>
  <c r="F446" i="3" s="1"/>
  <c r="F447" i="3" s="1"/>
  <c r="F448" i="3" s="1"/>
  <c r="F449" i="3" s="1"/>
  <c r="F450" i="3" s="1"/>
  <c r="F451" i="3"/>
  <c r="F452" i="3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/>
  <c r="F480" i="3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/>
  <c r="F508" i="3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/>
  <c r="F534" i="3" s="1"/>
  <c r="F535" i="3" s="1"/>
  <c r="F536" i="3" s="1"/>
  <c r="F537" i="3" s="1"/>
  <c r="F538" i="3" s="1"/>
  <c r="F539" i="3" s="1"/>
  <c r="F540" i="3" s="1"/>
  <c r="F541" i="3" s="1"/>
  <c r="F542" i="3" s="1"/>
  <c r="F543" i="3"/>
  <c r="F544" i="3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/>
  <c r="F572" i="3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/>
  <c r="F600" i="3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/>
  <c r="F626" i="3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/>
  <c r="F642" i="3"/>
  <c r="F643" i="3" s="1"/>
  <c r="G643" i="3" s="1"/>
  <c r="F4" i="3"/>
  <c r="F5" i="3" s="1"/>
  <c r="F6" i="3" s="1"/>
  <c r="F7" i="3"/>
  <c r="F8" i="3" s="1"/>
  <c r="F9" i="3" s="1"/>
  <c r="F10" i="3" s="1"/>
  <c r="F11" i="3" s="1"/>
  <c r="F12" i="3" s="1"/>
  <c r="F13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/>
  <c r="F43" i="3"/>
  <c r="F44" i="3" s="1"/>
  <c r="F45" i="3" s="1"/>
  <c r="F46" i="3" s="1"/>
  <c r="F47" i="3" s="1"/>
  <c r="F48" i="3" s="1"/>
  <c r="F49" i="3" s="1"/>
  <c r="F50" i="3" s="1"/>
  <c r="F51" i="3"/>
  <c r="F52" i="3" s="1"/>
  <c r="F53" i="3" s="1"/>
  <c r="F54" i="3" s="1"/>
  <c r="F55" i="3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/>
  <c r="G70" i="3" s="1"/>
  <c r="B70" i="3" s="1"/>
  <c r="F71" i="3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/>
  <c r="F85" i="3" s="1"/>
  <c r="F86" i="3" s="1"/>
  <c r="F87" i="3" s="1"/>
  <c r="F88" i="3"/>
  <c r="F89" i="3" s="1"/>
  <c r="F90" i="3" s="1"/>
  <c r="F91" i="3" s="1"/>
  <c r="F92" i="3" s="1"/>
  <c r="F93" i="3" s="1"/>
  <c r="F94" i="3" s="1"/>
  <c r="F95" i="3" s="1"/>
  <c r="F96" i="3" s="1"/>
  <c r="F97" i="3" s="1"/>
  <c r="F98" i="3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/>
  <c r="F127" i="3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/>
  <c r="F141" i="3" s="1"/>
  <c r="F142" i="3" s="1"/>
  <c r="F143" i="3"/>
  <c r="F144" i="3" s="1"/>
  <c r="F145" i="3" s="1"/>
  <c r="F146" i="3" s="1"/>
  <c r="F147" i="3" s="1"/>
  <c r="F148" i="3" s="1"/>
  <c r="F149" i="3" s="1"/>
  <c r="F150" i="3" s="1"/>
  <c r="F151" i="3"/>
  <c r="F152" i="3" s="1"/>
  <c r="F153" i="3" s="1"/>
  <c r="F154" i="3"/>
  <c r="F155" i="3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/>
  <c r="F169" i="3" s="1"/>
  <c r="F170" i="3" s="1"/>
  <c r="F171" i="3" s="1"/>
  <c r="F172" i="3" s="1"/>
  <c r="F173" i="3"/>
  <c r="F174" i="3" s="1"/>
  <c r="F175" i="3" s="1"/>
  <c r="F176" i="3" s="1"/>
  <c r="F177" i="3" s="1"/>
  <c r="F178" i="3" s="1"/>
  <c r="F179" i="3" s="1"/>
  <c r="F180" i="3" s="1"/>
  <c r="F181" i="3" s="1"/>
  <c r="F182" i="3" s="1"/>
  <c r="F183" i="3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/>
  <c r="F226" i="3"/>
  <c r="F227" i="3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/>
  <c r="G253" i="3" s="1"/>
  <c r="B253" i="3" s="1"/>
  <c r="F254" i="3"/>
  <c r="F255" i="3" s="1"/>
  <c r="F256" i="3" s="1"/>
  <c r="F257" i="3"/>
  <c r="F258" i="3"/>
  <c r="F259" i="3"/>
  <c r="F260" i="3" s="1"/>
  <c r="F261" i="3" s="1"/>
  <c r="F262" i="3" s="1"/>
  <c r="F263" i="3" s="1"/>
  <c r="F264" i="3" s="1"/>
  <c r="F265" i="3" s="1"/>
  <c r="F266" i="3" s="1"/>
  <c r="F267" i="3"/>
  <c r="F268" i="3" s="1"/>
  <c r="F269" i="3" s="1"/>
  <c r="F270" i="3" s="1"/>
  <c r="F271" i="3"/>
  <c r="F272" i="3" s="1"/>
  <c r="F273" i="3" s="1"/>
  <c r="F274" i="3" s="1"/>
  <c r="F275" i="3" s="1"/>
  <c r="F276" i="3" s="1"/>
  <c r="F277" i="3" s="1"/>
  <c r="F278" i="3" s="1"/>
  <c r="F279" i="3" s="1"/>
  <c r="F280" i="3" s="1"/>
  <c r="F281" i="3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/>
  <c r="F310" i="3"/>
  <c r="F311" i="3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/>
  <c r="F338" i="3"/>
  <c r="F339" i="3"/>
  <c r="F340" i="3" s="1"/>
  <c r="F341" i="3" s="1"/>
  <c r="F342" i="3" s="1"/>
  <c r="F343" i="3" s="1"/>
  <c r="F344" i="3" s="1"/>
  <c r="F345" i="3" s="1"/>
  <c r="F346" i="3" s="1"/>
  <c r="F347" i="3" s="1"/>
  <c r="F348" i="3" s="1"/>
  <c r="F349" i="3"/>
  <c r="F350" i="3"/>
  <c r="F351" i="3"/>
  <c r="F352" i="3" s="1"/>
  <c r="F353" i="3" s="1"/>
  <c r="F354" i="3" s="1"/>
  <c r="F355" i="3" s="1"/>
  <c r="F356" i="3" s="1"/>
  <c r="F357" i="3" s="1"/>
  <c r="F358" i="3" s="1"/>
  <c r="F359" i="3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/>
  <c r="F374" i="3"/>
  <c r="F375" i="3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/>
  <c r="G387" i="3" s="1"/>
  <c r="B387" i="3" s="1"/>
  <c r="F388" i="3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/>
  <c r="F402" i="3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/>
  <c r="G429" i="3" s="1"/>
  <c r="B429" i="3" s="1"/>
  <c r="F430" i="3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G641" i="3"/>
  <c r="G625" i="3"/>
  <c r="B625" i="3" s="1"/>
  <c r="G2" i="3"/>
  <c r="G42" i="3"/>
  <c r="B42" i="3" s="1"/>
  <c r="G55" i="3"/>
  <c r="B55" i="3" s="1"/>
  <c r="G84" i="3"/>
  <c r="B84" i="3" s="1"/>
  <c r="G88" i="3"/>
  <c r="B88" i="3" s="1"/>
  <c r="G112" i="3"/>
  <c r="B112" i="3" s="1"/>
  <c r="G126" i="3"/>
  <c r="B126" i="3" s="1"/>
  <c r="G140" i="3"/>
  <c r="B140" i="3" s="1"/>
  <c r="G154" i="3"/>
  <c r="B154" i="3" s="1"/>
  <c r="G183" i="3"/>
  <c r="B183" i="3" s="1"/>
  <c r="G225" i="3"/>
  <c r="B225" i="3" s="1"/>
  <c r="G239" i="3"/>
  <c r="B239" i="3" s="1"/>
  <c r="G257" i="3"/>
  <c r="B257" i="3" s="1"/>
  <c r="G267" i="3"/>
  <c r="B267" i="3" s="1"/>
  <c r="G281" i="3"/>
  <c r="B281" i="3" s="1"/>
  <c r="G309" i="3"/>
  <c r="B309" i="3" s="1"/>
  <c r="G337" i="3"/>
  <c r="B337" i="3" s="1"/>
  <c r="G533" i="3"/>
  <c r="B533" i="3" s="1"/>
  <c r="G585" i="3"/>
  <c r="B585" i="3" s="1"/>
  <c r="G599" i="3"/>
  <c r="B599" i="3" s="1"/>
  <c r="G613" i="3"/>
  <c r="B613" i="3" s="1"/>
  <c r="G349" i="3"/>
  <c r="B349" i="3" s="1"/>
  <c r="G359" i="3"/>
  <c r="B359" i="3" s="1"/>
  <c r="G373" i="3"/>
  <c r="B373" i="3" s="1"/>
  <c r="G401" i="3"/>
  <c r="B401" i="3" s="1"/>
  <c r="G415" i="3"/>
  <c r="B415" i="3" s="1"/>
  <c r="G451" i="3"/>
  <c r="B451" i="3" s="1"/>
  <c r="G492" i="3"/>
  <c r="B492" i="3" s="1"/>
  <c r="F3" i="3"/>
  <c r="G3" i="3" s="1"/>
  <c r="G28" i="3" l="1"/>
  <c r="B28" i="3" s="1"/>
  <c r="G543" i="3"/>
  <c r="B543" i="3" s="1"/>
  <c r="G211" i="3"/>
  <c r="B211" i="3" s="1"/>
  <c r="G168" i="3"/>
  <c r="B168" i="3" s="1"/>
  <c r="G14" i="3"/>
  <c r="B14" i="3" s="1"/>
  <c r="G465" i="3"/>
  <c r="B465" i="3" s="1"/>
  <c r="G558" i="3"/>
  <c r="B558" i="3" s="1"/>
  <c r="G323" i="3"/>
  <c r="B323" i="3" s="1"/>
  <c r="G173" i="3"/>
  <c r="B173" i="3" s="1"/>
  <c r="G524" i="3"/>
  <c r="B524" i="3" s="1"/>
  <c r="G295" i="3"/>
  <c r="B295" i="3" s="1"/>
  <c r="G197" i="3"/>
  <c r="B197" i="3" s="1"/>
  <c r="G98" i="3"/>
  <c r="B98" i="3" s="1"/>
  <c r="G508" i="3"/>
  <c r="B508" i="3" s="1"/>
  <c r="G571" i="3"/>
  <c r="B571" i="3" s="1"/>
  <c r="G481" i="3"/>
  <c r="B481" i="3" s="1"/>
  <c r="G642" i="3"/>
  <c r="G627" i="3"/>
  <c r="B627" i="3" s="1"/>
  <c r="G282" i="3"/>
  <c r="B282" i="3" s="1"/>
  <c r="G198" i="3"/>
  <c r="B198" i="3" s="1"/>
  <c r="G480" i="3"/>
  <c r="B480" i="3" s="1"/>
  <c r="G360" i="3"/>
  <c r="B360" i="3" s="1"/>
  <c r="G557" i="3"/>
  <c r="B557" i="3" s="1"/>
  <c r="G523" i="3"/>
  <c r="B523" i="3" s="1"/>
  <c r="G507" i="3"/>
  <c r="B507" i="3" s="1"/>
  <c r="G479" i="3"/>
  <c r="B479" i="3" s="1"/>
  <c r="G522" i="3"/>
  <c r="B522" i="3" s="1"/>
  <c r="G521" i="3"/>
  <c r="B521" i="3" s="1"/>
  <c r="G441" i="3"/>
  <c r="B441" i="3" s="1"/>
  <c r="G141" i="3"/>
  <c r="B141" i="3" s="1"/>
  <c r="G338" i="3"/>
  <c r="B338" i="3" s="1"/>
  <c r="G614" i="3"/>
  <c r="B614" i="3" s="1"/>
  <c r="G572" i="3"/>
  <c r="B572" i="3" s="1"/>
  <c r="G258" i="3"/>
  <c r="B258" i="3" s="1"/>
  <c r="G226" i="3"/>
  <c r="B226" i="3" s="1"/>
  <c r="G374" i="3"/>
  <c r="B374" i="3" s="1"/>
  <c r="G350" i="3"/>
  <c r="B350" i="3" s="1"/>
  <c r="G268" i="3"/>
  <c r="B268" i="3" s="1"/>
  <c r="G184" i="3"/>
  <c r="B184" i="3" s="1"/>
  <c r="G155" i="3"/>
  <c r="B155" i="3" s="1"/>
  <c r="G127" i="3"/>
  <c r="B127" i="3" s="1"/>
  <c r="G99" i="3"/>
  <c r="B99" i="3" s="1"/>
  <c r="G43" i="3"/>
  <c r="B43" i="3" s="1"/>
  <c r="G430" i="3"/>
  <c r="B430" i="3" s="1"/>
  <c r="G402" i="3"/>
  <c r="B402" i="3" s="1"/>
  <c r="G71" i="3"/>
  <c r="B71" i="3" s="1"/>
  <c r="G559" i="3"/>
  <c r="B559" i="3" s="1"/>
  <c r="G4" i="3"/>
  <c r="B4" i="3" s="1"/>
  <c r="G482" i="3"/>
  <c r="B482" i="3" s="1"/>
  <c r="G525" i="3"/>
  <c r="B525" i="3" s="1"/>
  <c r="G466" i="3"/>
  <c r="B466" i="3" s="1"/>
  <c r="G29" i="3"/>
  <c r="B29" i="3" s="1"/>
  <c r="G493" i="3"/>
  <c r="B493" i="3" s="1"/>
  <c r="G452" i="3"/>
  <c r="B452" i="3" s="1"/>
  <c r="G388" i="3"/>
  <c r="B388" i="3" s="1"/>
  <c r="G600" i="3"/>
  <c r="B600" i="3" s="1"/>
  <c r="G544" i="3"/>
  <c r="B544" i="3" s="1"/>
  <c r="G324" i="3"/>
  <c r="B324" i="3" s="1"/>
  <c r="G254" i="3"/>
  <c r="B254" i="3" s="1"/>
  <c r="G212" i="3"/>
  <c r="B212" i="3" s="1"/>
  <c r="G174" i="3"/>
  <c r="B174" i="3" s="1"/>
  <c r="G56" i="3"/>
  <c r="B56" i="3" s="1"/>
  <c r="G15" i="3"/>
  <c r="B15" i="3" s="1"/>
  <c r="G169" i="3" l="1"/>
  <c r="B169" i="3" s="1"/>
  <c r="G626" i="3"/>
  <c r="B626" i="3" s="1"/>
  <c r="G339" i="3"/>
  <c r="B339" i="3" s="1"/>
  <c r="G199" i="3"/>
  <c r="B199" i="3" s="1"/>
  <c r="G142" i="3"/>
  <c r="B142" i="3" s="1"/>
  <c r="G283" i="3"/>
  <c r="B283" i="3" s="1"/>
  <c r="G573" i="3"/>
  <c r="B573" i="3" s="1"/>
  <c r="G259" i="3"/>
  <c r="B259" i="3" s="1"/>
  <c r="G156" i="3"/>
  <c r="B156" i="3" s="1"/>
  <c r="G227" i="3"/>
  <c r="B227" i="3" s="1"/>
  <c r="G85" i="3"/>
  <c r="B85" i="3" s="1"/>
  <c r="G442" i="3"/>
  <c r="B442" i="3" s="1"/>
  <c r="G615" i="3"/>
  <c r="B615" i="3" s="1"/>
  <c r="G361" i="3"/>
  <c r="B361" i="3" s="1"/>
  <c r="G44" i="3"/>
  <c r="B44" i="3" s="1"/>
  <c r="G351" i="3"/>
  <c r="B351" i="3" s="1"/>
  <c r="G100" i="3"/>
  <c r="B100" i="3" s="1"/>
  <c r="G72" i="3"/>
  <c r="B72" i="3" s="1"/>
  <c r="G375" i="3"/>
  <c r="B375" i="3" s="1"/>
  <c r="G431" i="3"/>
  <c r="B431" i="3" s="1"/>
  <c r="G269" i="3"/>
  <c r="B269" i="3" s="1"/>
  <c r="G297" i="3"/>
  <c r="B297" i="3" s="1"/>
  <c r="G296" i="3"/>
  <c r="B296" i="3" s="1"/>
  <c r="G114" i="3"/>
  <c r="B114" i="3" s="1"/>
  <c r="G113" i="3"/>
  <c r="B113" i="3" s="1"/>
  <c r="G311" i="3"/>
  <c r="B311" i="3" s="1"/>
  <c r="G310" i="3"/>
  <c r="B310" i="3" s="1"/>
  <c r="G403" i="3"/>
  <c r="B403" i="3" s="1"/>
  <c r="G185" i="3"/>
  <c r="B185" i="3" s="1"/>
  <c r="G241" i="3"/>
  <c r="B241" i="3" s="1"/>
  <c r="G240" i="3"/>
  <c r="B240" i="3" s="1"/>
  <c r="G509" i="3"/>
  <c r="B509" i="3" s="1"/>
  <c r="G535" i="3"/>
  <c r="B535" i="3" s="1"/>
  <c r="G534" i="3"/>
  <c r="B534" i="3" s="1"/>
  <c r="G128" i="3"/>
  <c r="B128" i="3" s="1"/>
  <c r="G587" i="3"/>
  <c r="B587" i="3" s="1"/>
  <c r="G586" i="3"/>
  <c r="B586" i="3" s="1"/>
  <c r="G90" i="3"/>
  <c r="B90" i="3" s="1"/>
  <c r="G89" i="3"/>
  <c r="B89" i="3" s="1"/>
  <c r="G417" i="3"/>
  <c r="B417" i="3" s="1"/>
  <c r="G416" i="3"/>
  <c r="B416" i="3" s="1"/>
  <c r="G5" i="3"/>
  <c r="B5" i="3" s="1"/>
  <c r="G340" i="3"/>
  <c r="B340" i="3" s="1"/>
  <c r="G57" i="3"/>
  <c r="B57" i="3" s="1"/>
  <c r="G175" i="3"/>
  <c r="B175" i="3" s="1"/>
  <c r="G545" i="3"/>
  <c r="B545" i="3" s="1"/>
  <c r="G453" i="3"/>
  <c r="B453" i="3" s="1"/>
  <c r="G200" i="3"/>
  <c r="B200" i="3" s="1"/>
  <c r="G560" i="3"/>
  <c r="B560" i="3" s="1"/>
  <c r="G325" i="3"/>
  <c r="B325" i="3" s="1"/>
  <c r="G601" i="3"/>
  <c r="B601" i="3" s="1"/>
  <c r="G536" i="3"/>
  <c r="B536" i="3" s="1"/>
  <c r="G526" i="3"/>
  <c r="B526" i="3" s="1"/>
  <c r="G483" i="3"/>
  <c r="B483" i="3" s="1"/>
  <c r="G213" i="3"/>
  <c r="B213" i="3" s="1"/>
  <c r="G494" i="3"/>
  <c r="B494" i="3" s="1"/>
  <c r="G16" i="3"/>
  <c r="B16" i="3" s="1"/>
  <c r="G389" i="3"/>
  <c r="B389" i="3" s="1"/>
  <c r="G30" i="3"/>
  <c r="B30" i="3" s="1"/>
  <c r="G467" i="3"/>
  <c r="B467" i="3" s="1"/>
  <c r="G616" i="3" l="1"/>
  <c r="B616" i="3" s="1"/>
  <c r="G574" i="3"/>
  <c r="B574" i="3" s="1"/>
  <c r="G228" i="3"/>
  <c r="B228" i="3" s="1"/>
  <c r="G352" i="3"/>
  <c r="B352" i="3" s="1"/>
  <c r="G143" i="3"/>
  <c r="B143" i="3" s="1"/>
  <c r="G260" i="3"/>
  <c r="B260" i="3" s="1"/>
  <c r="G157" i="3"/>
  <c r="B157" i="3" s="1"/>
  <c r="G284" i="3"/>
  <c r="B284" i="3" s="1"/>
  <c r="G45" i="3"/>
  <c r="B45" i="3" s="1"/>
  <c r="G628" i="3"/>
  <c r="B628" i="3" s="1"/>
  <c r="G432" i="3"/>
  <c r="B432" i="3" s="1"/>
  <c r="G443" i="3"/>
  <c r="B443" i="3" s="1"/>
  <c r="G101" i="3"/>
  <c r="B101" i="3" s="1"/>
  <c r="G186" i="3"/>
  <c r="B186" i="3" s="1"/>
  <c r="G270" i="3"/>
  <c r="B270" i="3" s="1"/>
  <c r="G418" i="3"/>
  <c r="B418" i="3" s="1"/>
  <c r="G91" i="3"/>
  <c r="B91" i="3" s="1"/>
  <c r="G255" i="3"/>
  <c r="B255" i="3" s="1"/>
  <c r="G362" i="3"/>
  <c r="B362" i="3" s="1"/>
  <c r="G242" i="3"/>
  <c r="B242" i="3" s="1"/>
  <c r="G298" i="3"/>
  <c r="B298" i="3" s="1"/>
  <c r="G73" i="3"/>
  <c r="B73" i="3" s="1"/>
  <c r="G376" i="3"/>
  <c r="B376" i="3" s="1"/>
  <c r="G129" i="3"/>
  <c r="B129" i="3" s="1"/>
  <c r="G115" i="3"/>
  <c r="B115" i="3" s="1"/>
  <c r="G404" i="3"/>
  <c r="B404" i="3" s="1"/>
  <c r="G588" i="3"/>
  <c r="B588" i="3" s="1"/>
  <c r="G510" i="3"/>
  <c r="B510" i="3" s="1"/>
  <c r="G312" i="3"/>
  <c r="B312" i="3" s="1"/>
  <c r="G201" i="3"/>
  <c r="B201" i="3" s="1"/>
  <c r="G575" i="3"/>
  <c r="B575" i="3" s="1"/>
  <c r="G617" i="3"/>
  <c r="B617" i="3" s="1"/>
  <c r="G468" i="3"/>
  <c r="B468" i="3" s="1"/>
  <c r="G31" i="3"/>
  <c r="B31" i="3" s="1"/>
  <c r="G390" i="3"/>
  <c r="B390" i="3" s="1"/>
  <c r="G495" i="3"/>
  <c r="B495" i="3" s="1"/>
  <c r="G537" i="3"/>
  <c r="B537" i="3" s="1"/>
  <c r="G602" i="3"/>
  <c r="B602" i="3" s="1"/>
  <c r="G326" i="3"/>
  <c r="B326" i="3" s="1"/>
  <c r="G46" i="3"/>
  <c r="B46" i="3" s="1"/>
  <c r="G546" i="3"/>
  <c r="B546" i="3" s="1"/>
  <c r="G58" i="3"/>
  <c r="B58" i="3" s="1"/>
  <c r="G229" i="3"/>
  <c r="B229" i="3" s="1"/>
  <c r="G561" i="3"/>
  <c r="B561" i="3" s="1"/>
  <c r="G341" i="3"/>
  <c r="B341" i="3" s="1"/>
  <c r="G17" i="3"/>
  <c r="B17" i="3" s="1"/>
  <c r="G214" i="3"/>
  <c r="B214" i="3" s="1"/>
  <c r="G484" i="3"/>
  <c r="B484" i="3" s="1"/>
  <c r="G527" i="3"/>
  <c r="B527" i="3" s="1"/>
  <c r="G86" i="3"/>
  <c r="B86" i="3" s="1"/>
  <c r="G261" i="3"/>
  <c r="B261" i="3" s="1"/>
  <c r="G454" i="3"/>
  <c r="B454" i="3" s="1"/>
  <c r="G176" i="3"/>
  <c r="B176" i="3" s="1"/>
  <c r="G6" i="3"/>
  <c r="B6" i="3" s="1"/>
  <c r="G353" i="3" l="1"/>
  <c r="B353" i="3" s="1"/>
  <c r="G144" i="3"/>
  <c r="B144" i="3" s="1"/>
  <c r="G444" i="3"/>
  <c r="B444" i="3" s="1"/>
  <c r="G74" i="3"/>
  <c r="B74" i="3" s="1"/>
  <c r="G405" i="3"/>
  <c r="B405" i="3" s="1"/>
  <c r="G433" i="3"/>
  <c r="B433" i="3" s="1"/>
  <c r="G285" i="3"/>
  <c r="B285" i="3" s="1"/>
  <c r="G158" i="3"/>
  <c r="B158" i="3" s="1"/>
  <c r="G271" i="3"/>
  <c r="B271" i="3" s="1"/>
  <c r="G187" i="3"/>
  <c r="B187" i="3" s="1"/>
  <c r="G92" i="3"/>
  <c r="B92" i="3" s="1"/>
  <c r="G629" i="3"/>
  <c r="B629" i="3" s="1"/>
  <c r="G102" i="3"/>
  <c r="B102" i="3" s="1"/>
  <c r="G116" i="3"/>
  <c r="B116" i="3" s="1"/>
  <c r="G299" i="3"/>
  <c r="B299" i="3" s="1"/>
  <c r="G419" i="3"/>
  <c r="B419" i="3" s="1"/>
  <c r="G130" i="3"/>
  <c r="B130" i="3" s="1"/>
  <c r="G377" i="3"/>
  <c r="B377" i="3" s="1"/>
  <c r="G243" i="3"/>
  <c r="B243" i="3" s="1"/>
  <c r="G363" i="3"/>
  <c r="B363" i="3" s="1"/>
  <c r="G589" i="3"/>
  <c r="B589" i="3" s="1"/>
  <c r="G313" i="3"/>
  <c r="B313" i="3" s="1"/>
  <c r="G511" i="3"/>
  <c r="B511" i="3" s="1"/>
  <c r="G7" i="3"/>
  <c r="B7" i="3" s="1"/>
  <c r="G455" i="3"/>
  <c r="B455" i="3" s="1"/>
  <c r="G528" i="3"/>
  <c r="B528" i="3" s="1"/>
  <c r="G215" i="3"/>
  <c r="B215" i="3" s="1"/>
  <c r="G145" i="3"/>
  <c r="B145" i="3" s="1"/>
  <c r="G230" i="3"/>
  <c r="B230" i="3" s="1"/>
  <c r="G547" i="3"/>
  <c r="B547" i="3" s="1"/>
  <c r="G47" i="3"/>
  <c r="B47" i="3" s="1"/>
  <c r="G603" i="3"/>
  <c r="B603" i="3" s="1"/>
  <c r="G538" i="3"/>
  <c r="B538" i="3" s="1"/>
  <c r="G391" i="3"/>
  <c r="B391" i="3" s="1"/>
  <c r="G32" i="3"/>
  <c r="B32" i="3" s="1"/>
  <c r="G469" i="3"/>
  <c r="B469" i="3" s="1"/>
  <c r="G576" i="3"/>
  <c r="B576" i="3" s="1"/>
  <c r="G170" i="3"/>
  <c r="B170" i="3" s="1"/>
  <c r="G177" i="3"/>
  <c r="B177" i="3" s="1"/>
  <c r="G262" i="3"/>
  <c r="B262" i="3" s="1"/>
  <c r="G354" i="3"/>
  <c r="B354" i="3" s="1"/>
  <c r="G485" i="3"/>
  <c r="B485" i="3" s="1"/>
  <c r="G18" i="3"/>
  <c r="B18" i="3" s="1"/>
  <c r="G188" i="3"/>
  <c r="B188" i="3" s="1"/>
  <c r="G342" i="3"/>
  <c r="B342" i="3" s="1"/>
  <c r="G562" i="3"/>
  <c r="B562" i="3" s="1"/>
  <c r="G59" i="3"/>
  <c r="B59" i="3" s="1"/>
  <c r="G327" i="3"/>
  <c r="B327" i="3" s="1"/>
  <c r="G406" i="3"/>
  <c r="B406" i="3" s="1"/>
  <c r="G496" i="3"/>
  <c r="B496" i="3" s="1"/>
  <c r="G618" i="3"/>
  <c r="B618" i="3" s="1"/>
  <c r="G202" i="3"/>
  <c r="B202" i="3" s="1"/>
  <c r="G445" i="3" l="1"/>
  <c r="B445" i="3" s="1"/>
  <c r="G590" i="3"/>
  <c r="B590" i="3" s="1"/>
  <c r="G300" i="3"/>
  <c r="B300" i="3" s="1"/>
  <c r="G159" i="3"/>
  <c r="B159" i="3" s="1"/>
  <c r="G75" i="3"/>
  <c r="B75" i="3" s="1"/>
  <c r="G272" i="3"/>
  <c r="B272" i="3" s="1"/>
  <c r="G420" i="3"/>
  <c r="B420" i="3" s="1"/>
  <c r="G286" i="3"/>
  <c r="B286" i="3" s="1"/>
  <c r="G131" i="3"/>
  <c r="B131" i="3" s="1"/>
  <c r="G93" i="3"/>
  <c r="B93" i="3" s="1"/>
  <c r="G434" i="3"/>
  <c r="B434" i="3" s="1"/>
  <c r="G103" i="3"/>
  <c r="B103" i="3" s="1"/>
  <c r="G630" i="3"/>
  <c r="B630" i="3" s="1"/>
  <c r="G117" i="3"/>
  <c r="B117" i="3" s="1"/>
  <c r="G378" i="3"/>
  <c r="B378" i="3" s="1"/>
  <c r="G364" i="3"/>
  <c r="B364" i="3" s="1"/>
  <c r="G244" i="3"/>
  <c r="B244" i="3" s="1"/>
  <c r="G512" i="3"/>
  <c r="B512" i="3" s="1"/>
  <c r="G314" i="3"/>
  <c r="B314" i="3" s="1"/>
  <c r="G203" i="3"/>
  <c r="B203" i="3" s="1"/>
  <c r="G497" i="3"/>
  <c r="B497" i="3" s="1"/>
  <c r="G60" i="3"/>
  <c r="B60" i="3" s="1"/>
  <c r="G343" i="3"/>
  <c r="B343" i="3" s="1"/>
  <c r="G19" i="3"/>
  <c r="B19" i="3" s="1"/>
  <c r="G355" i="3"/>
  <c r="B355" i="3" s="1"/>
  <c r="G178" i="3"/>
  <c r="B178" i="3" s="1"/>
  <c r="G470" i="3"/>
  <c r="B470" i="3" s="1"/>
  <c r="G392" i="3"/>
  <c r="B392" i="3" s="1"/>
  <c r="G539" i="3"/>
  <c r="B539" i="3" s="1"/>
  <c r="G48" i="3"/>
  <c r="B48" i="3" s="1"/>
  <c r="G548" i="3"/>
  <c r="B548" i="3" s="1"/>
  <c r="G231" i="3"/>
  <c r="B231" i="3" s="1"/>
  <c r="G146" i="3"/>
  <c r="B146" i="3" s="1"/>
  <c r="G529" i="3"/>
  <c r="B529" i="3" s="1"/>
  <c r="G8" i="3"/>
  <c r="B8" i="3" s="1"/>
  <c r="G446" i="3"/>
  <c r="B446" i="3" s="1"/>
  <c r="G619" i="3"/>
  <c r="B619" i="3" s="1"/>
  <c r="G407" i="3"/>
  <c r="B407" i="3" s="1"/>
  <c r="G328" i="3"/>
  <c r="B328" i="3" s="1"/>
  <c r="G563" i="3"/>
  <c r="B563" i="3" s="1"/>
  <c r="G189" i="3"/>
  <c r="B189" i="3" s="1"/>
  <c r="G486" i="3"/>
  <c r="B486" i="3" s="1"/>
  <c r="G591" i="3"/>
  <c r="B591" i="3" s="1"/>
  <c r="G263" i="3"/>
  <c r="B263" i="3" s="1"/>
  <c r="G577" i="3"/>
  <c r="B577" i="3" s="1"/>
  <c r="G33" i="3"/>
  <c r="B33" i="3" s="1"/>
  <c r="G604" i="3"/>
  <c r="B604" i="3" s="1"/>
  <c r="G216" i="3"/>
  <c r="B216" i="3" s="1"/>
  <c r="G456" i="3"/>
  <c r="B456" i="3" s="1"/>
  <c r="G132" i="3" l="1"/>
  <c r="B132" i="3" s="1"/>
  <c r="G76" i="3"/>
  <c r="B76" i="3" s="1"/>
  <c r="G245" i="3"/>
  <c r="B245" i="3" s="1"/>
  <c r="G301" i="3"/>
  <c r="B301" i="3" s="1"/>
  <c r="G421" i="3"/>
  <c r="B421" i="3" s="1"/>
  <c r="G160" i="3"/>
  <c r="B160" i="3" s="1"/>
  <c r="G287" i="3"/>
  <c r="B287" i="3" s="1"/>
  <c r="G171" i="3"/>
  <c r="B171" i="3" s="1"/>
  <c r="G273" i="3"/>
  <c r="B273" i="3" s="1"/>
  <c r="G94" i="3"/>
  <c r="B94" i="3" s="1"/>
  <c r="G365" i="3"/>
  <c r="B365" i="3" s="1"/>
  <c r="G435" i="3"/>
  <c r="B435" i="3" s="1"/>
  <c r="G104" i="3"/>
  <c r="B104" i="3" s="1"/>
  <c r="G379" i="3"/>
  <c r="B379" i="3" s="1"/>
  <c r="G118" i="3"/>
  <c r="B118" i="3" s="1"/>
  <c r="G631" i="3"/>
  <c r="B631" i="3" s="1"/>
  <c r="G315" i="3"/>
  <c r="B315" i="3" s="1"/>
  <c r="G513" i="3"/>
  <c r="B513" i="3" s="1"/>
  <c r="G77" i="3"/>
  <c r="B77" i="3" s="1"/>
  <c r="G246" i="3"/>
  <c r="B246" i="3" s="1"/>
  <c r="G605" i="3"/>
  <c r="B605" i="3" s="1"/>
  <c r="G34" i="3"/>
  <c r="B34" i="3" s="1"/>
  <c r="G592" i="3"/>
  <c r="B592" i="3" s="1"/>
  <c r="G564" i="3"/>
  <c r="B564" i="3" s="1"/>
  <c r="G329" i="3"/>
  <c r="B329" i="3" s="1"/>
  <c r="G447" i="3"/>
  <c r="B447" i="3" s="1"/>
  <c r="G232" i="3"/>
  <c r="B232" i="3" s="1"/>
  <c r="G49" i="3"/>
  <c r="B49" i="3" s="1"/>
  <c r="G393" i="3"/>
  <c r="B393" i="3" s="1"/>
  <c r="G356" i="3"/>
  <c r="B356" i="3" s="1"/>
  <c r="G20" i="3"/>
  <c r="B20" i="3" s="1"/>
  <c r="G344" i="3"/>
  <c r="B344" i="3" s="1"/>
  <c r="G422" i="3"/>
  <c r="B422" i="3" s="1"/>
  <c r="G498" i="3"/>
  <c r="B498" i="3" s="1"/>
  <c r="G457" i="3"/>
  <c r="B457" i="3" s="1"/>
  <c r="G217" i="3"/>
  <c r="B217" i="3" s="1"/>
  <c r="G161" i="3"/>
  <c r="B161" i="3" s="1"/>
  <c r="G578" i="3"/>
  <c r="B578" i="3" s="1"/>
  <c r="G264" i="3"/>
  <c r="B264" i="3" s="1"/>
  <c r="G487" i="3"/>
  <c r="B487" i="3" s="1"/>
  <c r="G190" i="3"/>
  <c r="B190" i="3" s="1"/>
  <c r="G408" i="3"/>
  <c r="B408" i="3" s="1"/>
  <c r="G620" i="3"/>
  <c r="B620" i="3" s="1"/>
  <c r="G9" i="3"/>
  <c r="B9" i="3" s="1"/>
  <c r="G530" i="3"/>
  <c r="B530" i="3" s="1"/>
  <c r="G147" i="3"/>
  <c r="B147" i="3" s="1"/>
  <c r="G549" i="3"/>
  <c r="B549" i="3" s="1"/>
  <c r="G540" i="3"/>
  <c r="B540" i="3" s="1"/>
  <c r="G471" i="3"/>
  <c r="B471" i="3" s="1"/>
  <c r="G179" i="3"/>
  <c r="B179" i="3" s="1"/>
  <c r="G133" i="3"/>
  <c r="B133" i="3" s="1"/>
  <c r="G61" i="3"/>
  <c r="B61" i="3" s="1"/>
  <c r="G204" i="3"/>
  <c r="B204" i="3" s="1"/>
  <c r="G302" i="3" l="1"/>
  <c r="B302" i="3" s="1"/>
  <c r="G288" i="3"/>
  <c r="B288" i="3" s="1"/>
  <c r="G366" i="3"/>
  <c r="B366" i="3" s="1"/>
  <c r="G436" i="3"/>
  <c r="B436" i="3" s="1"/>
  <c r="G274" i="3"/>
  <c r="B274" i="3" s="1"/>
  <c r="G95" i="3"/>
  <c r="B95" i="3" s="1"/>
  <c r="G105" i="3"/>
  <c r="B105" i="3" s="1"/>
  <c r="G380" i="3"/>
  <c r="B380" i="3" s="1"/>
  <c r="G119" i="3"/>
  <c r="B119" i="3" s="1"/>
  <c r="G632" i="3"/>
  <c r="B632" i="3" s="1"/>
  <c r="G514" i="3"/>
  <c r="B514" i="3" s="1"/>
  <c r="G316" i="3"/>
  <c r="B316" i="3" s="1"/>
  <c r="G205" i="3"/>
  <c r="B205" i="3" s="1"/>
  <c r="G134" i="3"/>
  <c r="B134" i="3" s="1"/>
  <c r="G180" i="3"/>
  <c r="B180" i="3" s="1"/>
  <c r="G541" i="3"/>
  <c r="B541" i="3" s="1"/>
  <c r="G148" i="3"/>
  <c r="B148" i="3" s="1"/>
  <c r="G10" i="3"/>
  <c r="B10" i="3" s="1"/>
  <c r="G409" i="3"/>
  <c r="B409" i="3" s="1"/>
  <c r="G191" i="3"/>
  <c r="B191" i="3" s="1"/>
  <c r="G265" i="3"/>
  <c r="B265" i="3" s="1"/>
  <c r="G162" i="3"/>
  <c r="B162" i="3" s="1"/>
  <c r="G289" i="3"/>
  <c r="B289" i="3" s="1"/>
  <c r="G458" i="3"/>
  <c r="B458" i="3" s="1"/>
  <c r="G345" i="3"/>
  <c r="B345" i="3" s="1"/>
  <c r="G357" i="3"/>
  <c r="B357" i="3" s="1"/>
  <c r="G394" i="3"/>
  <c r="B394" i="3" s="1"/>
  <c r="G233" i="3"/>
  <c r="B233" i="3" s="1"/>
  <c r="G303" i="3"/>
  <c r="B303" i="3" s="1"/>
  <c r="G565" i="3"/>
  <c r="B565" i="3" s="1"/>
  <c r="G593" i="3"/>
  <c r="B593" i="3" s="1"/>
  <c r="G35" i="3"/>
  <c r="B35" i="3" s="1"/>
  <c r="G247" i="3"/>
  <c r="B247" i="3" s="1"/>
  <c r="G78" i="3"/>
  <c r="B78" i="3" s="1"/>
  <c r="G62" i="3"/>
  <c r="B62" i="3" s="1"/>
  <c r="G472" i="3"/>
  <c r="B472" i="3" s="1"/>
  <c r="G550" i="3"/>
  <c r="B550" i="3" s="1"/>
  <c r="G531" i="3"/>
  <c r="B531" i="3" s="1"/>
  <c r="G621" i="3"/>
  <c r="B621" i="3" s="1"/>
  <c r="G96" i="3"/>
  <c r="B96" i="3" s="1"/>
  <c r="G488" i="3"/>
  <c r="B488" i="3" s="1"/>
  <c r="G579" i="3"/>
  <c r="B579" i="3" s="1"/>
  <c r="G218" i="3"/>
  <c r="B218" i="3" s="1"/>
  <c r="G499" i="3"/>
  <c r="B499" i="3" s="1"/>
  <c r="G423" i="3"/>
  <c r="B423" i="3" s="1"/>
  <c r="G21" i="3"/>
  <c r="B21" i="3" s="1"/>
  <c r="G50" i="3"/>
  <c r="B50" i="3" s="1"/>
  <c r="G448" i="3"/>
  <c r="B448" i="3" s="1"/>
  <c r="G330" i="3"/>
  <c r="B330" i="3" s="1"/>
  <c r="G606" i="3"/>
  <c r="B606" i="3" s="1"/>
  <c r="G437" i="3" l="1"/>
  <c r="B437" i="3" s="1"/>
  <c r="G367" i="3"/>
  <c r="B367" i="3" s="1"/>
  <c r="G120" i="3"/>
  <c r="B120" i="3" s="1"/>
  <c r="G275" i="3"/>
  <c r="B275" i="3" s="1"/>
  <c r="G381" i="3"/>
  <c r="B381" i="3" s="1"/>
  <c r="G106" i="3"/>
  <c r="B106" i="3" s="1"/>
  <c r="G633" i="3"/>
  <c r="B633" i="3" s="1"/>
  <c r="G636" i="3"/>
  <c r="B636" i="3" s="1"/>
  <c r="G317" i="3"/>
  <c r="B317" i="3" s="1"/>
  <c r="G515" i="3"/>
  <c r="B515" i="3" s="1"/>
  <c r="G607" i="3"/>
  <c r="B607" i="3" s="1"/>
  <c r="G121" i="3"/>
  <c r="B121" i="3" s="1"/>
  <c r="G449" i="3"/>
  <c r="B449" i="3" s="1"/>
  <c r="G51" i="3"/>
  <c r="B51" i="3" s="1"/>
  <c r="G22" i="3"/>
  <c r="B22" i="3" s="1"/>
  <c r="G500" i="3"/>
  <c r="B500" i="3" s="1"/>
  <c r="G368" i="3"/>
  <c r="B368" i="3" s="1"/>
  <c r="G489" i="3"/>
  <c r="B489" i="3" s="1"/>
  <c r="G622" i="3"/>
  <c r="B622" i="3" s="1"/>
  <c r="G551" i="3"/>
  <c r="B551" i="3" s="1"/>
  <c r="G79" i="3"/>
  <c r="B79" i="3" s="1"/>
  <c r="G36" i="3"/>
  <c r="B36" i="3" s="1"/>
  <c r="G566" i="3"/>
  <c r="B566" i="3" s="1"/>
  <c r="G107" i="3"/>
  <c r="B107" i="3" s="1"/>
  <c r="G395" i="3"/>
  <c r="B395" i="3" s="1"/>
  <c r="G346" i="3"/>
  <c r="B346" i="3" s="1"/>
  <c r="G459" i="3"/>
  <c r="B459" i="3" s="1"/>
  <c r="G163" i="3"/>
  <c r="B163" i="3" s="1"/>
  <c r="G192" i="3"/>
  <c r="B192" i="3" s="1"/>
  <c r="G11" i="3"/>
  <c r="B11" i="3" s="1"/>
  <c r="G542" i="3"/>
  <c r="B542" i="3" s="1"/>
  <c r="G135" i="3"/>
  <c r="B135" i="3" s="1"/>
  <c r="G181" i="3"/>
  <c r="B181" i="3" s="1"/>
  <c r="G331" i="3"/>
  <c r="B331" i="3" s="1"/>
  <c r="G438" i="3"/>
  <c r="B438" i="3" s="1"/>
  <c r="G424" i="3"/>
  <c r="B424" i="3" s="1"/>
  <c r="G219" i="3"/>
  <c r="B219" i="3" s="1"/>
  <c r="G580" i="3"/>
  <c r="B580" i="3" s="1"/>
  <c r="G97" i="3"/>
  <c r="B97" i="3" s="1"/>
  <c r="G532" i="3"/>
  <c r="B532" i="3" s="1"/>
  <c r="G473" i="3"/>
  <c r="B473" i="3" s="1"/>
  <c r="G63" i="3"/>
  <c r="B63" i="3" s="1"/>
  <c r="G248" i="3"/>
  <c r="B248" i="3" s="1"/>
  <c r="G594" i="3"/>
  <c r="B594" i="3" s="1"/>
  <c r="G304" i="3"/>
  <c r="B304" i="3" s="1"/>
  <c r="G234" i="3"/>
  <c r="B234" i="3" s="1"/>
  <c r="G358" i="3"/>
  <c r="B358" i="3" s="1"/>
  <c r="G290" i="3"/>
  <c r="B290" i="3" s="1"/>
  <c r="G266" i="3"/>
  <c r="B266" i="3" s="1"/>
  <c r="G410" i="3"/>
  <c r="B410" i="3" s="1"/>
  <c r="G149" i="3"/>
  <c r="B149" i="3" s="1"/>
  <c r="G206" i="3"/>
  <c r="B206" i="3" s="1"/>
  <c r="G276" i="3" l="1"/>
  <c r="B276" i="3" s="1"/>
  <c r="G382" i="3"/>
  <c r="B382" i="3" s="1"/>
  <c r="G634" i="3"/>
  <c r="B634" i="3" s="1"/>
  <c r="G516" i="3"/>
  <c r="B516" i="3" s="1"/>
  <c r="G318" i="3"/>
  <c r="B318" i="3" s="1"/>
  <c r="G207" i="3"/>
  <c r="B207" i="3" s="1"/>
  <c r="G411" i="3"/>
  <c r="B411" i="3" s="1"/>
  <c r="G291" i="3"/>
  <c r="B291" i="3" s="1"/>
  <c r="G305" i="3"/>
  <c r="B305" i="3" s="1"/>
  <c r="G249" i="3"/>
  <c r="B249" i="3" s="1"/>
  <c r="G474" i="3"/>
  <c r="B474" i="3" s="1"/>
  <c r="G220" i="3"/>
  <c r="B220" i="3" s="1"/>
  <c r="G332" i="3"/>
  <c r="B332" i="3" s="1"/>
  <c r="G182" i="3"/>
  <c r="B182" i="3" s="1"/>
  <c r="G136" i="3"/>
  <c r="B136" i="3" s="1"/>
  <c r="G12" i="3"/>
  <c r="B12" i="3" s="1"/>
  <c r="G164" i="3"/>
  <c r="B164" i="3" s="1"/>
  <c r="G347" i="3"/>
  <c r="B347" i="3" s="1"/>
  <c r="G108" i="3"/>
  <c r="B108" i="3" s="1"/>
  <c r="G37" i="3"/>
  <c r="B37" i="3" s="1"/>
  <c r="G623" i="3"/>
  <c r="B623" i="3" s="1"/>
  <c r="G369" i="3"/>
  <c r="B369" i="3" s="1"/>
  <c r="G23" i="3"/>
  <c r="B23" i="3" s="1"/>
  <c r="G450" i="3"/>
  <c r="B450" i="3" s="1"/>
  <c r="G608" i="3"/>
  <c r="B608" i="3" s="1"/>
  <c r="G567" i="3"/>
  <c r="B567" i="3" s="1"/>
  <c r="G150" i="3"/>
  <c r="B150" i="3" s="1"/>
  <c r="G277" i="3"/>
  <c r="B277" i="3" s="1"/>
  <c r="G235" i="3"/>
  <c r="B235" i="3" s="1"/>
  <c r="G595" i="3"/>
  <c r="B595" i="3" s="1"/>
  <c r="G64" i="3"/>
  <c r="B64" i="3" s="1"/>
  <c r="G581" i="3"/>
  <c r="B581" i="3" s="1"/>
  <c r="G425" i="3"/>
  <c r="B425" i="3" s="1"/>
  <c r="G439" i="3"/>
  <c r="B439" i="3" s="1"/>
  <c r="G383" i="3"/>
  <c r="B383" i="3" s="1"/>
  <c r="G193" i="3"/>
  <c r="B193" i="3" s="1"/>
  <c r="G460" i="3"/>
  <c r="B460" i="3" s="1"/>
  <c r="G396" i="3"/>
  <c r="B396" i="3" s="1"/>
  <c r="G80" i="3"/>
  <c r="B80" i="3" s="1"/>
  <c r="G552" i="3"/>
  <c r="B552" i="3" s="1"/>
  <c r="G490" i="3"/>
  <c r="B490" i="3" s="1"/>
  <c r="G501" i="3"/>
  <c r="B501" i="3" s="1"/>
  <c r="G52" i="3"/>
  <c r="B52" i="3" s="1"/>
  <c r="G122" i="3"/>
  <c r="B122" i="3" s="1"/>
  <c r="G635" i="3" l="1"/>
  <c r="B635" i="3" s="1"/>
  <c r="G319" i="3"/>
  <c r="B319" i="3" s="1"/>
  <c r="G517" i="3"/>
  <c r="B517" i="3" s="1"/>
  <c r="G553" i="3"/>
  <c r="B553" i="3" s="1"/>
  <c r="G123" i="3"/>
  <c r="B123" i="3" s="1"/>
  <c r="G502" i="3"/>
  <c r="B502" i="3" s="1"/>
  <c r="G397" i="3"/>
  <c r="B397" i="3" s="1"/>
  <c r="G194" i="3"/>
  <c r="B194" i="3" s="1"/>
  <c r="G384" i="3"/>
  <c r="B384" i="3" s="1"/>
  <c r="G426" i="3"/>
  <c r="B426" i="3" s="1"/>
  <c r="G65" i="3"/>
  <c r="B65" i="3" s="1"/>
  <c r="G236" i="3"/>
  <c r="B236" i="3" s="1"/>
  <c r="G151" i="3"/>
  <c r="B151" i="3" s="1"/>
  <c r="G609" i="3"/>
  <c r="B609" i="3" s="1"/>
  <c r="G24" i="3"/>
  <c r="B24" i="3" s="1"/>
  <c r="G624" i="3"/>
  <c r="B624" i="3" s="1"/>
  <c r="G38" i="3"/>
  <c r="B38" i="3" s="1"/>
  <c r="G348" i="3"/>
  <c r="B348" i="3" s="1"/>
  <c r="G13" i="3"/>
  <c r="B13" i="3" s="1"/>
  <c r="G475" i="3"/>
  <c r="B475" i="3" s="1"/>
  <c r="G306" i="3"/>
  <c r="B306" i="3" s="1"/>
  <c r="G412" i="3"/>
  <c r="B412" i="3" s="1"/>
  <c r="G53" i="3"/>
  <c r="B53" i="3" s="1"/>
  <c r="G491" i="3"/>
  <c r="B491" i="3" s="1"/>
  <c r="G81" i="3"/>
  <c r="B81" i="3" s="1"/>
  <c r="G461" i="3"/>
  <c r="B461" i="3" s="1"/>
  <c r="G440" i="3"/>
  <c r="B440" i="3" s="1"/>
  <c r="G582" i="3"/>
  <c r="B582" i="3" s="1"/>
  <c r="G596" i="3"/>
  <c r="B596" i="3" s="1"/>
  <c r="G278" i="3"/>
  <c r="B278" i="3" s="1"/>
  <c r="G568" i="3"/>
  <c r="B568" i="3" s="1"/>
  <c r="G370" i="3"/>
  <c r="B370" i="3" s="1"/>
  <c r="G109" i="3"/>
  <c r="B109" i="3" s="1"/>
  <c r="G165" i="3"/>
  <c r="B165" i="3" s="1"/>
  <c r="G137" i="3"/>
  <c r="B137" i="3" s="1"/>
  <c r="G333" i="3"/>
  <c r="B333" i="3" s="1"/>
  <c r="G221" i="3"/>
  <c r="B221" i="3" s="1"/>
  <c r="G250" i="3"/>
  <c r="B250" i="3" s="1"/>
  <c r="G292" i="3"/>
  <c r="B292" i="3" s="1"/>
  <c r="G208" i="3"/>
  <c r="B208" i="3" s="1"/>
  <c r="G637" i="3" l="1"/>
  <c r="B637" i="3" s="1"/>
  <c r="G518" i="3"/>
  <c r="B518" i="3" s="1"/>
  <c r="G320" i="3"/>
  <c r="B320" i="3" s="1"/>
  <c r="G222" i="3"/>
  <c r="B222" i="3" s="1"/>
  <c r="G138" i="3"/>
  <c r="B138" i="3" s="1"/>
  <c r="G110" i="3"/>
  <c r="B110" i="3" s="1"/>
  <c r="G371" i="3"/>
  <c r="B371" i="3" s="1"/>
  <c r="G279" i="3"/>
  <c r="B279" i="3" s="1"/>
  <c r="G583" i="3"/>
  <c r="B583" i="3" s="1"/>
  <c r="G172" i="3"/>
  <c r="B172" i="3" s="1"/>
  <c r="G82" i="3"/>
  <c r="B82" i="3" s="1"/>
  <c r="G54" i="3"/>
  <c r="B54" i="3" s="1"/>
  <c r="G413" i="3"/>
  <c r="B413" i="3" s="1"/>
  <c r="G476" i="3"/>
  <c r="B476" i="3" s="1"/>
  <c r="G39" i="3"/>
  <c r="B39" i="3" s="1"/>
  <c r="G25" i="3"/>
  <c r="B25" i="3" s="1"/>
  <c r="G152" i="3"/>
  <c r="B152" i="3" s="1"/>
  <c r="G66" i="3"/>
  <c r="B66" i="3" s="1"/>
  <c r="G385" i="3"/>
  <c r="B385" i="3" s="1"/>
  <c r="G398" i="3"/>
  <c r="B398" i="3" s="1"/>
  <c r="G124" i="3"/>
  <c r="B124" i="3" s="1"/>
  <c r="G237" i="3"/>
  <c r="B237" i="3" s="1"/>
  <c r="G293" i="3"/>
  <c r="B293" i="3" s="1"/>
  <c r="G209" i="3"/>
  <c r="B209" i="3" s="1"/>
  <c r="G251" i="3"/>
  <c r="B251" i="3" s="1"/>
  <c r="G334" i="3"/>
  <c r="B334" i="3" s="1"/>
  <c r="G166" i="3"/>
  <c r="B166" i="3" s="1"/>
  <c r="G569" i="3"/>
  <c r="B569" i="3" s="1"/>
  <c r="G597" i="3"/>
  <c r="B597" i="3" s="1"/>
  <c r="G462" i="3"/>
  <c r="B462" i="3" s="1"/>
  <c r="G256" i="3"/>
  <c r="B256" i="3" s="1"/>
  <c r="G307" i="3"/>
  <c r="B307" i="3" s="1"/>
  <c r="G87" i="3"/>
  <c r="B87" i="3" s="1"/>
  <c r="G610" i="3"/>
  <c r="B610" i="3" s="1"/>
  <c r="G427" i="3"/>
  <c r="B427" i="3" s="1"/>
  <c r="G195" i="3"/>
  <c r="B195" i="3" s="1"/>
  <c r="G503" i="3"/>
  <c r="B503" i="3" s="1"/>
  <c r="G554" i="3"/>
  <c r="B554" i="3" s="1"/>
  <c r="G638" i="3" l="1"/>
  <c r="B638" i="3" s="1"/>
  <c r="G321" i="3"/>
  <c r="B321" i="3" s="1"/>
  <c r="G322" i="3"/>
  <c r="B322" i="3" s="1"/>
  <c r="G520" i="3"/>
  <c r="B520" i="3" s="1"/>
  <c r="G519" i="3"/>
  <c r="B519" i="3" s="1"/>
  <c r="G504" i="3"/>
  <c r="B504" i="3" s="1"/>
  <c r="G598" i="3"/>
  <c r="B598" i="3" s="1"/>
  <c r="G252" i="3"/>
  <c r="B252" i="3" s="1"/>
  <c r="G125" i="3"/>
  <c r="B125" i="3" s="1"/>
  <c r="G153" i="3"/>
  <c r="B153" i="3" s="1"/>
  <c r="G414" i="3"/>
  <c r="B414" i="3" s="1"/>
  <c r="G372" i="3"/>
  <c r="B372" i="3" s="1"/>
  <c r="G428" i="3"/>
  <c r="B428" i="3" s="1"/>
  <c r="G167" i="3"/>
  <c r="B167" i="3" s="1"/>
  <c r="G294" i="3"/>
  <c r="B294" i="3" s="1"/>
  <c r="G386" i="3"/>
  <c r="B386" i="3" s="1"/>
  <c r="G40" i="3"/>
  <c r="B40" i="3" s="1"/>
  <c r="G83" i="3"/>
  <c r="B83" i="3" s="1"/>
  <c r="G584" i="3"/>
  <c r="B584" i="3" s="1"/>
  <c r="G139" i="3"/>
  <c r="B139" i="3" s="1"/>
  <c r="G555" i="3"/>
  <c r="B555" i="3" s="1"/>
  <c r="G196" i="3"/>
  <c r="B196" i="3" s="1"/>
  <c r="G611" i="3"/>
  <c r="B611" i="3" s="1"/>
  <c r="G308" i="3"/>
  <c r="B308" i="3" s="1"/>
  <c r="G463" i="3"/>
  <c r="B463" i="3" s="1"/>
  <c r="G570" i="3"/>
  <c r="B570" i="3" s="1"/>
  <c r="G335" i="3"/>
  <c r="B335" i="3" s="1"/>
  <c r="G210" i="3"/>
  <c r="B210" i="3" s="1"/>
  <c r="G238" i="3"/>
  <c r="B238" i="3" s="1"/>
  <c r="G399" i="3"/>
  <c r="B399" i="3" s="1"/>
  <c r="G67" i="3"/>
  <c r="B67" i="3" s="1"/>
  <c r="G26" i="3"/>
  <c r="B26" i="3" s="1"/>
  <c r="G477" i="3"/>
  <c r="B477" i="3" s="1"/>
  <c r="G280" i="3"/>
  <c r="B280" i="3" s="1"/>
  <c r="G111" i="3"/>
  <c r="B111" i="3" s="1"/>
  <c r="G223" i="3"/>
  <c r="B223" i="3" s="1"/>
  <c r="G640" i="3" l="1"/>
  <c r="B640" i="3" s="1"/>
  <c r="G639" i="3"/>
  <c r="B639" i="3" s="1"/>
  <c r="G478" i="3"/>
  <c r="B478" i="3" s="1"/>
  <c r="G68" i="3"/>
  <c r="B68" i="3" s="1"/>
  <c r="G41" i="3"/>
  <c r="B41" i="3" s="1"/>
  <c r="G336" i="3"/>
  <c r="B336" i="3" s="1"/>
  <c r="G464" i="3"/>
  <c r="B464" i="3" s="1"/>
  <c r="G612" i="3"/>
  <c r="B612" i="3" s="1"/>
  <c r="G556" i="3"/>
  <c r="B556" i="3" s="1"/>
  <c r="G224" i="3"/>
  <c r="B224" i="3" s="1"/>
  <c r="G27" i="3"/>
  <c r="B27" i="3" s="1"/>
  <c r="G400" i="3"/>
  <c r="B400" i="3" s="1"/>
  <c r="G505" i="3"/>
  <c r="B505" i="3" s="1"/>
  <c r="G69" i="3" l="1"/>
  <c r="B69" i="3" s="1"/>
  <c r="G506" i="3"/>
  <c r="B506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FF4FD9-05DC-4444-85C7-F382ABA9F78B}" keepAlive="1" name="Query - Manifest" description="Connection to the 'Manifest' query in the workbook." type="5" refreshedVersion="8" background="1" saveData="1">
    <dbPr connection="Provider=Microsoft.Mashup.OleDb.1;Data Source=$Workbook$;Location=Manifest;Extended Properties=&quot;&quot;" command="SELECT * FROM [Manifest]"/>
  </connection>
</connections>
</file>

<file path=xl/sharedStrings.xml><?xml version="1.0" encoding="utf-8"?>
<sst xmlns="http://schemas.openxmlformats.org/spreadsheetml/2006/main" count="1959" uniqueCount="80">
  <si>
    <t>href</t>
  </si>
  <si>
    <t>id</t>
  </si>
  <si>
    <t>media-type</t>
  </si>
  <si>
    <t>title.xhtml</t>
  </si>
  <si>
    <t>application/xhtml+xml</t>
  </si>
  <si>
    <t>OEBPS/main.xhtml</t>
  </si>
  <si>
    <t>OEBPS/Navigation/Lunes.xhtml</t>
  </si>
  <si>
    <t>OEBPS/Resos/Senal-de-la-santa-cruz.xhtml</t>
  </si>
  <si>
    <t>OEBPS/Resos/Oracion-Al-Espiritu-Santo.xhtml</t>
  </si>
  <si>
    <t>OEBPS/Resos/Credo.xhtml</t>
  </si>
  <si>
    <t>OEBPS/Resos/Padre-Nuestro.xhtml</t>
  </si>
  <si>
    <t>OEBPS/Resos/Avemaria.xhtml</t>
  </si>
  <si>
    <t>OEBPS/Resos/Gloria.xhtml</t>
  </si>
  <si>
    <t>OEBPS/Intensiones/Intensiones.xhtml</t>
  </si>
  <si>
    <t>OEBPS/Misterios/Gozoso/Misterio-Gozoso-1.xhtml</t>
  </si>
  <si>
    <t>OEBPS/Resos/Jaculatoria.xhtml</t>
  </si>
  <si>
    <t>OEBPS/Misterios/Gozoso/Misterio-Gozoso-2.xhtml</t>
  </si>
  <si>
    <t>OEBPS/Misterios/Gozoso/Misterio-Gozoso-3.xhtml</t>
  </si>
  <si>
    <t>OEBPS/Misterios/Gozoso/Misterio-Gozoso-4.xhtml</t>
  </si>
  <si>
    <t>OEBPS/Misterios/Gozoso/Misterio-Gozoso-5.xhtml</t>
  </si>
  <si>
    <t>OEBPS/Resos/Salve-Regina.xhtml</t>
  </si>
  <si>
    <t>OEBPS/Resos/Letania-de-la-Virgen-Maria.xhtml</t>
  </si>
  <si>
    <t>OEBPS/Resos/Soberano-Santuario.xhtml</t>
  </si>
  <si>
    <t>OEBPS/Resos/Divina-Providencia.xhtml</t>
  </si>
  <si>
    <t>OEBPS/Resos/Angel-de-la-guarda.xhtml</t>
  </si>
  <si>
    <t>OEBPS/Resos/San-Miguel-Arcangel.xhtml</t>
  </si>
  <si>
    <t>OEBPS/Resos/Bajo-tu-amparo.xhtml</t>
  </si>
  <si>
    <t>OEBPS/Resos/Santa-Gertrudis.xhtml</t>
  </si>
  <si>
    <t>OEBPS/Resos/San-Jose.xhtml</t>
  </si>
  <si>
    <t>OEBPS/Resos/Oh-Senora-Mia.xhtml</t>
  </si>
  <si>
    <t>OEBPS/Resos/Oracion-del-Alma-de-Cristo.xhtml</t>
  </si>
  <si>
    <t>OEBPS/Resos/Dulce-Madre.xhtml</t>
  </si>
  <si>
    <t>OEBPS/Navigation/Martes.xhtml</t>
  </si>
  <si>
    <t>OEBPS/Misterios/Doloroso/Misterio-Doloroso-1.xhtml</t>
  </si>
  <si>
    <t>OEBPS/Misterios/Doloroso/Misterio-Doloroso-2.xhtml</t>
  </si>
  <si>
    <t>OEBPS/Misterios/Doloroso/Misterio-Doloroso-3.xhtml</t>
  </si>
  <si>
    <t>OEBPS/Misterios/Doloroso/Misterio-Doloroso-4.xhtml</t>
  </si>
  <si>
    <t>OEBPS/Misterios/Doloroso/Misterio-Doloroso-5.xhtml</t>
  </si>
  <si>
    <t>OEBPS/Navigation/Miercoles.xhtml</t>
  </si>
  <si>
    <t>OEBPS/Misterios/Glorioso/Misterio-Glorioso-1.xhtml</t>
  </si>
  <si>
    <t>OEBPS/Misterios/Glorioso/Misterio-Glorioso-2.xhtml</t>
  </si>
  <si>
    <t>OEBPS/Misterios/Glorioso/Misterio-Glorioso-3.xhtml</t>
  </si>
  <si>
    <t>OEBPS/Misterios/Glorioso/Misterio-Glorioso-4.xhtml</t>
  </si>
  <si>
    <t>OEBPS/Misterios/Glorioso/Misterio-Glorioso-5.xhtml</t>
  </si>
  <si>
    <t>OEBPS/Resos/Letania-de-San-Jose.xhtml</t>
  </si>
  <si>
    <t>OEBPS/Navigation/Jueves.xhtml</t>
  </si>
  <si>
    <t>OEBPS/Misterios/Luminoso/Misterio-Luminoso-1.xhtml</t>
  </si>
  <si>
    <t>OEBPS/Misterios/Luminoso/Misterio-Luminoso-2.xhtml</t>
  </si>
  <si>
    <t>OEBPS/Misterios/Luminoso/Misterio-Luminoso-3.xhtml</t>
  </si>
  <si>
    <t>OEBPS/Misterios/Luminoso/Misterio-Luminoso-4.xhtml</t>
  </si>
  <si>
    <t>OEBPS/Misterios/Luminoso/Misterio-Luminoso-5.xhtml</t>
  </si>
  <si>
    <t>OEBPS/Navigation/Domingo.xhtml</t>
  </si>
  <si>
    <t>OEBPS/styles/stylesheet.css</t>
  </si>
  <si>
    <t>text/css</t>
  </si>
  <si>
    <t>toc.ncx</t>
  </si>
  <si>
    <t>application/x-dtbncx+xml</t>
  </si>
  <si>
    <t>OEBPS/nav.xhtml</t>
  </si>
  <si>
    <t>newID</t>
  </si>
  <si>
    <t>Day</t>
  </si>
  <si>
    <t>Lun</t>
  </si>
  <si>
    <t>Mie</t>
  </si>
  <si>
    <t>Mar</t>
  </si>
  <si>
    <t>Jue</t>
  </si>
  <si>
    <t>Segment</t>
  </si>
  <si>
    <t>Vie</t>
  </si>
  <si>
    <t>Sab</t>
  </si>
  <si>
    <t>Seq</t>
  </si>
  <si>
    <t>b</t>
  </si>
  <si>
    <t>r</t>
  </si>
  <si>
    <t>s</t>
  </si>
  <si>
    <t>OEBPS/Resos/Consagracion-a-San-Jose.xhtml</t>
  </si>
  <si>
    <t>Dom</t>
  </si>
  <si>
    <t>e</t>
  </si>
  <si>
    <t>OEBPS/Navigation/Viernes.xhtml</t>
  </si>
  <si>
    <t>OEBPS/Navigation/Sabado.xhtml</t>
  </si>
  <si>
    <t>css</t>
  </si>
  <si>
    <t>nav</t>
  </si>
  <si>
    <t>toc</t>
  </si>
  <si>
    <t>title</t>
  </si>
  <si>
    <t>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</si>
</sst>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1AD4098-51A0-4044-A4D4-113A25C19930}" autoFormatId="16" applyNumberFormats="0" applyBorderFormats="0" applyFontFormats="0" applyPatternFormats="0" applyAlignmentFormats="0" applyWidthHeightFormats="0">
  <queryTableRefresh nextId="11" unboundColumnsRight="4">
    <queryTableFields count="7">
      <queryTableField id="4" name="href" tableColumnId="4"/>
      <queryTableField id="5" name="id" tableColumnId="5"/>
      <queryTableField id="6" name="media-type" tableColumnId="6"/>
      <queryTableField id="8" dataBound="0" tableColumnId="8"/>
      <queryTableField id="9" dataBound="0" tableColumnId="9"/>
      <queryTableField id="10" dataBound="0" tableColumnId="10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3EBB35-9C5C-4CB4-9F06-3ED0A76B55C4}" name="Manifest" displayName="Manifest" ref="A1:G643" tableType="queryTable" totalsRowShown="0">
  <autoFilter ref="A1:G643" xr:uid="{E53EBB35-9C5C-4CB4-9F06-3ED0A76B55C4}"/>
  <tableColumns count="7">
    <tableColumn id="4" xr3:uid="{AEEAEEB2-D012-4352-9F10-164C8BA71F1A}" uniqueName="4" name="href" queryTableFieldId="4" dataDxfId="6"/>
    <tableColumn id="5" xr3:uid="{ED3B65F6-14F6-4FC0-85E2-60F72AF5C5C8}" uniqueName="5" name="id" queryTableFieldId="5" dataDxfId="5"/>
    <tableColumn id="6" xr3:uid="{FB8829D4-83AA-4D28-ACC1-F15835E6EF40}" uniqueName="6" name="media-type" queryTableFieldId="6" dataDxfId="4"/>
    <tableColumn id="8" xr3:uid="{1B676950-E40C-48AD-93C4-5C215B2F06BE}" uniqueName="8" name="Day" queryTableFieldId="8" dataDxfId="3"/>
    <tableColumn id="9" xr3:uid="{E3785120-24BE-4799-BBC7-2A7F118C9979}" uniqueName="9" name="Segment" queryTableFieldId="9" dataDxfId="2"/>
    <tableColumn id="10" xr3:uid="{6952FA02-E210-43E8-9893-86C94C917541}" uniqueName="10" name="Seq" queryTableFieldId="10" dataDxfId="1"/>
    <tableColumn id="7" xr3:uid="{C534EF74-99B0-4AA5-B38F-BA2D93D41CA8}" uniqueName="7" name="newID" queryTableFieldId="7" dataDxfId="0">
      <calculatedColumnFormula>"Ros_"&amp;Manifest[[#This Row],[Day]]&amp;"_"&amp;Manifest[[#This Row],[Segment]]&amp;"_"&amp;TEXT(Manifest[[#This Row],[Seq]],"00")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5DA69-0DA1-4E44-AF2B-57E036ED481A}">
  <dimension ref="A1:G643"/>
  <sheetViews>
    <sheetView tabSelected="1" workbookViewId="0">
      <selection activeCell="A3" sqref="A3"/>
    </sheetView>
  </sheetViews>
  <sheetFormatPr defaultRowHeight="15" x14ac:dyDescent="0.25"/>
  <cols>
    <col min="1" max="1" width="50.85546875" bestFit="1" customWidth="1"/>
    <col min="2" max="2" width="50.140625" bestFit="1" customWidth="1"/>
    <col min="3" max="3" width="23.85546875" bestFit="1" customWidth="1"/>
    <col min="4" max="6" width="11.5703125" customWidth="1"/>
    <col min="7" max="7" width="15.5703125" customWidth="1"/>
    <col min="8" max="8" width="50.140625" bestFit="1" customWidth="1"/>
    <col min="9" max="9" width="23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58</v>
      </c>
      <c r="E1" t="s">
        <v>63</v>
      </c>
      <c r="F1" t="s">
        <v>66</v>
      </c>
      <c r="G1" t="s">
        <v>57</v>
      </c>
    </row>
    <row r="2" spans="1:7" x14ac:dyDescent="0.25">
      <c r="A2" t="s">
        <v>3</v>
      </c>
      <c r="B2" t="s">
        <v>78</v>
      </c>
      <c r="C2" t="s">
        <v>4</v>
      </c>
      <c r="D2" t="s">
        <v>67</v>
      </c>
      <c r="E2" s="1" t="s">
        <v>67</v>
      </c>
      <c r="F2">
        <v>1</v>
      </c>
      <c r="G2" t="str">
        <f>"Ros_"&amp;Manifest[[#This Row],[Day]]&amp;"_"&amp;Manifest[[#This Row],[Segment]]&amp;"_"&amp;TEXT(Manifest[[#This Row],[Seq]],"00")</f>
        <v>Ros_b_b_01</v>
      </c>
    </row>
    <row r="3" spans="1:7" x14ac:dyDescent="0.25">
      <c r="A3" t="s">
        <v>5</v>
      </c>
      <c r="B3" t="s">
        <v>79</v>
      </c>
      <c r="C3" t="s">
        <v>4</v>
      </c>
      <c r="D3" t="s">
        <v>67</v>
      </c>
      <c r="E3" t="s">
        <v>67</v>
      </c>
      <c r="F3">
        <f>IF(Manifest[[#This Row],[Segment]]=E2,F2+1,1)</f>
        <v>2</v>
      </c>
      <c r="G3" t="str">
        <f>"Ros_"&amp;Manifest[[#This Row],[Day]]&amp;"_"&amp;Manifest[[#This Row],[Segment]]&amp;"_"&amp;TEXT(Manifest[[#This Row],[Seq]],"00")</f>
        <v>Ros_b_b_02</v>
      </c>
    </row>
    <row r="4" spans="1:7" x14ac:dyDescent="0.25">
      <c r="A4" t="s">
        <v>6</v>
      </c>
      <c r="B4" t="str">
        <f>Manifest[[#This Row],[newID]]</f>
        <v>Ros_Lun_0_01</v>
      </c>
      <c r="C4" t="s">
        <v>4</v>
      </c>
      <c r="D4" t="s">
        <v>59</v>
      </c>
      <c r="E4">
        <v>0</v>
      </c>
      <c r="F4">
        <f>IF(Manifest[[#This Row],[Segment]]=E3,F3+1,1)</f>
        <v>1</v>
      </c>
      <c r="G4" t="str">
        <f>"Ros_"&amp;Manifest[[#This Row],[Day]]&amp;"_"&amp;Manifest[[#This Row],[Segment]]&amp;"_"&amp;TEXT(Manifest[[#This Row],[Seq]],"00")</f>
        <v>Ros_Lun_0_01</v>
      </c>
    </row>
    <row r="5" spans="1:7" x14ac:dyDescent="0.25">
      <c r="A5" t="s">
        <v>7</v>
      </c>
      <c r="B5" t="str">
        <f>Manifest[[#This Row],[newID]]</f>
        <v>Ros_Lun_0_02</v>
      </c>
      <c r="C5" t="s">
        <v>4</v>
      </c>
      <c r="D5" t="s">
        <v>59</v>
      </c>
      <c r="E5">
        <v>0</v>
      </c>
      <c r="F5">
        <f>IF(Manifest[[#This Row],[Segment]]=E4,F4+1,1)</f>
        <v>2</v>
      </c>
      <c r="G5" t="str">
        <f>"Ros_"&amp;Manifest[[#This Row],[Day]]&amp;"_"&amp;Manifest[[#This Row],[Segment]]&amp;"_"&amp;TEXT(Manifest[[#This Row],[Seq]],"00")</f>
        <v>Ros_Lun_0_02</v>
      </c>
    </row>
    <row r="6" spans="1:7" x14ac:dyDescent="0.25">
      <c r="A6" t="s">
        <v>8</v>
      </c>
      <c r="B6" t="str">
        <f>Manifest[[#This Row],[newID]]</f>
        <v>Ros_Lun_0_03</v>
      </c>
      <c r="C6" t="s">
        <v>4</v>
      </c>
      <c r="D6" t="s">
        <v>59</v>
      </c>
      <c r="E6">
        <v>0</v>
      </c>
      <c r="F6">
        <f>IF(Manifest[[#This Row],[Segment]]=E5,F5+1,1)</f>
        <v>3</v>
      </c>
      <c r="G6" t="str">
        <f>"Ros_"&amp;Manifest[[#This Row],[Day]]&amp;"_"&amp;Manifest[[#This Row],[Segment]]&amp;"_"&amp;TEXT(Manifest[[#This Row],[Seq]],"00")</f>
        <v>Ros_Lun_0_03</v>
      </c>
    </row>
    <row r="7" spans="1:7" x14ac:dyDescent="0.25">
      <c r="A7" t="s">
        <v>9</v>
      </c>
      <c r="B7" t="str">
        <f>Manifest[[#This Row],[newID]]</f>
        <v>Ros_Lun_0_04</v>
      </c>
      <c r="C7" t="s">
        <v>4</v>
      </c>
      <c r="D7" t="s">
        <v>59</v>
      </c>
      <c r="E7">
        <v>0</v>
      </c>
      <c r="F7">
        <f>IF(Manifest[[#This Row],[Segment]]=E6,F6+1,1)</f>
        <v>4</v>
      </c>
      <c r="G7" t="str">
        <f>"Ros_"&amp;Manifest[[#This Row],[Day]]&amp;"_"&amp;Manifest[[#This Row],[Segment]]&amp;"_"&amp;TEXT(Manifest[[#This Row],[Seq]],"00")</f>
        <v>Ros_Lun_0_04</v>
      </c>
    </row>
    <row r="8" spans="1:7" x14ac:dyDescent="0.25">
      <c r="A8" t="s">
        <v>10</v>
      </c>
      <c r="B8" t="str">
        <f>Manifest[[#This Row],[newID]]</f>
        <v>Ros_Lun_0_05</v>
      </c>
      <c r="C8" t="s">
        <v>4</v>
      </c>
      <c r="D8" t="s">
        <v>59</v>
      </c>
      <c r="E8">
        <v>0</v>
      </c>
      <c r="F8">
        <f>IF(Manifest[[#This Row],[Segment]]=E7,F7+1,1)</f>
        <v>5</v>
      </c>
      <c r="G8" t="str">
        <f>"Ros_"&amp;Manifest[[#This Row],[Day]]&amp;"_"&amp;Manifest[[#This Row],[Segment]]&amp;"_"&amp;TEXT(Manifest[[#This Row],[Seq]],"00")</f>
        <v>Ros_Lun_0_05</v>
      </c>
    </row>
    <row r="9" spans="1:7" x14ac:dyDescent="0.25">
      <c r="A9" t="s">
        <v>11</v>
      </c>
      <c r="B9" t="str">
        <f>Manifest[[#This Row],[newID]]</f>
        <v>Ros_Lun_0_06</v>
      </c>
      <c r="C9" t="s">
        <v>4</v>
      </c>
      <c r="D9" t="s">
        <v>59</v>
      </c>
      <c r="E9">
        <v>0</v>
      </c>
      <c r="F9">
        <f>IF(Manifest[[#This Row],[Segment]]=E8,F8+1,1)</f>
        <v>6</v>
      </c>
      <c r="G9" t="str">
        <f>"Ros_"&amp;Manifest[[#This Row],[Day]]&amp;"_"&amp;Manifest[[#This Row],[Segment]]&amp;"_"&amp;TEXT(Manifest[[#This Row],[Seq]],"00")</f>
        <v>Ros_Lun_0_06</v>
      </c>
    </row>
    <row r="10" spans="1:7" x14ac:dyDescent="0.25">
      <c r="A10" t="s">
        <v>11</v>
      </c>
      <c r="B10" t="str">
        <f>Manifest[[#This Row],[newID]]</f>
        <v>Ros_Lun_0_07</v>
      </c>
      <c r="C10" t="s">
        <v>4</v>
      </c>
      <c r="D10" t="s">
        <v>59</v>
      </c>
      <c r="E10">
        <v>0</v>
      </c>
      <c r="F10">
        <f>IF(Manifest[[#This Row],[Segment]]=E9,F9+1,1)</f>
        <v>7</v>
      </c>
      <c r="G10" t="str">
        <f>"Ros_"&amp;Manifest[[#This Row],[Day]]&amp;"_"&amp;Manifest[[#This Row],[Segment]]&amp;"_"&amp;TEXT(Manifest[[#This Row],[Seq]],"00")</f>
        <v>Ros_Lun_0_07</v>
      </c>
    </row>
    <row r="11" spans="1:7" x14ac:dyDescent="0.25">
      <c r="A11" t="s">
        <v>11</v>
      </c>
      <c r="B11" t="str">
        <f>Manifest[[#This Row],[newID]]</f>
        <v>Ros_Lun_0_08</v>
      </c>
      <c r="C11" t="s">
        <v>4</v>
      </c>
      <c r="D11" t="s">
        <v>59</v>
      </c>
      <c r="E11">
        <v>0</v>
      </c>
      <c r="F11">
        <f>IF(Manifest[[#This Row],[Segment]]=E10,F10+1,1)</f>
        <v>8</v>
      </c>
      <c r="G11" t="str">
        <f>"Ros_"&amp;Manifest[[#This Row],[Day]]&amp;"_"&amp;Manifest[[#This Row],[Segment]]&amp;"_"&amp;TEXT(Manifest[[#This Row],[Seq]],"00")</f>
        <v>Ros_Lun_0_08</v>
      </c>
    </row>
    <row r="12" spans="1:7" x14ac:dyDescent="0.25">
      <c r="A12" t="s">
        <v>12</v>
      </c>
      <c r="B12" t="str">
        <f>Manifest[[#This Row],[newID]]</f>
        <v>Ros_Lun_0_09</v>
      </c>
      <c r="C12" t="s">
        <v>4</v>
      </c>
      <c r="D12" t="s">
        <v>59</v>
      </c>
      <c r="E12">
        <v>0</v>
      </c>
      <c r="F12">
        <f>IF(Manifest[[#This Row],[Segment]]=E11,F11+1,1)</f>
        <v>9</v>
      </c>
      <c r="G12" t="str">
        <f>"Ros_"&amp;Manifest[[#This Row],[Day]]&amp;"_"&amp;Manifest[[#This Row],[Segment]]&amp;"_"&amp;TEXT(Manifest[[#This Row],[Seq]],"00")</f>
        <v>Ros_Lun_0_09</v>
      </c>
    </row>
    <row r="13" spans="1:7" x14ac:dyDescent="0.25">
      <c r="A13" t="s">
        <v>13</v>
      </c>
      <c r="B13" t="str">
        <f>Manifest[[#This Row],[newID]]</f>
        <v>Ros_Lun_0_10</v>
      </c>
      <c r="C13" t="s">
        <v>4</v>
      </c>
      <c r="D13" t="s">
        <v>59</v>
      </c>
      <c r="E13">
        <v>0</v>
      </c>
      <c r="F13">
        <f>IF(Manifest[[#This Row],[Segment]]=E12,F12+1,1)</f>
        <v>10</v>
      </c>
      <c r="G13" t="str">
        <f>"Ros_"&amp;Manifest[[#This Row],[Day]]&amp;"_"&amp;Manifest[[#This Row],[Segment]]&amp;"_"&amp;TEXT(Manifest[[#This Row],[Seq]],"00")</f>
        <v>Ros_Lun_0_10</v>
      </c>
    </row>
    <row r="14" spans="1:7" x14ac:dyDescent="0.25">
      <c r="A14" t="s">
        <v>14</v>
      </c>
      <c r="B14" t="str">
        <f>Manifest[[#This Row],[newID]]</f>
        <v>Ros_Lun_1_01</v>
      </c>
      <c r="C14" t="s">
        <v>4</v>
      </c>
      <c r="D14" t="s">
        <v>59</v>
      </c>
      <c r="E14">
        <v>1</v>
      </c>
      <c r="F14">
        <f>IF(Manifest[[#This Row],[Segment]]=E13,F13+1,1)</f>
        <v>1</v>
      </c>
      <c r="G14" t="str">
        <f>"Ros_"&amp;Manifest[[#This Row],[Day]]&amp;"_"&amp;Manifest[[#This Row],[Segment]]&amp;"_"&amp;TEXT(Manifest[[#This Row],[Seq]],"00")</f>
        <v>Ros_Lun_1_01</v>
      </c>
    </row>
    <row r="15" spans="1:7" x14ac:dyDescent="0.25">
      <c r="A15" t="s">
        <v>10</v>
      </c>
      <c r="B15" t="str">
        <f>Manifest[[#This Row],[newID]]</f>
        <v>Ros_Lun_1_02</v>
      </c>
      <c r="C15" t="s">
        <v>4</v>
      </c>
      <c r="D15" t="s">
        <v>59</v>
      </c>
      <c r="E15">
        <v>1</v>
      </c>
      <c r="F15">
        <f>IF(Manifest[[#This Row],[Segment]]=E14,F14+1,1)</f>
        <v>2</v>
      </c>
      <c r="G15" t="str">
        <f>"Ros_"&amp;Manifest[[#This Row],[Day]]&amp;"_"&amp;Manifest[[#This Row],[Segment]]&amp;"_"&amp;TEXT(Manifest[[#This Row],[Seq]],"00")</f>
        <v>Ros_Lun_1_02</v>
      </c>
    </row>
    <row r="16" spans="1:7" x14ac:dyDescent="0.25">
      <c r="A16" t="s">
        <v>11</v>
      </c>
      <c r="B16" t="str">
        <f>Manifest[[#This Row],[newID]]</f>
        <v>Ros_Lun_1_03</v>
      </c>
      <c r="C16" t="s">
        <v>4</v>
      </c>
      <c r="D16" t="s">
        <v>59</v>
      </c>
      <c r="E16">
        <v>1</v>
      </c>
      <c r="F16">
        <f>IF(Manifest[[#This Row],[Segment]]=E15,F15+1,1)</f>
        <v>3</v>
      </c>
      <c r="G16" t="str">
        <f>"Ros_"&amp;Manifest[[#This Row],[Day]]&amp;"_"&amp;Manifest[[#This Row],[Segment]]&amp;"_"&amp;TEXT(Manifest[[#This Row],[Seq]],"00")</f>
        <v>Ros_Lun_1_03</v>
      </c>
    </row>
    <row r="17" spans="1:7" x14ac:dyDescent="0.25">
      <c r="A17" t="s">
        <v>11</v>
      </c>
      <c r="B17" t="str">
        <f>Manifest[[#This Row],[newID]]</f>
        <v>Ros_Lun_1_04</v>
      </c>
      <c r="C17" t="s">
        <v>4</v>
      </c>
      <c r="D17" t="s">
        <v>59</v>
      </c>
      <c r="E17">
        <v>1</v>
      </c>
      <c r="F17">
        <f>IF(Manifest[[#This Row],[Segment]]=E16,F16+1,1)</f>
        <v>4</v>
      </c>
      <c r="G17" t="str">
        <f>"Ros_"&amp;Manifest[[#This Row],[Day]]&amp;"_"&amp;Manifest[[#This Row],[Segment]]&amp;"_"&amp;TEXT(Manifest[[#This Row],[Seq]],"00")</f>
        <v>Ros_Lun_1_04</v>
      </c>
    </row>
    <row r="18" spans="1:7" x14ac:dyDescent="0.25">
      <c r="A18" t="s">
        <v>11</v>
      </c>
      <c r="B18" t="str">
        <f>Manifest[[#This Row],[newID]]</f>
        <v>Ros_Lun_1_05</v>
      </c>
      <c r="C18" t="s">
        <v>4</v>
      </c>
      <c r="D18" t="s">
        <v>59</v>
      </c>
      <c r="E18">
        <v>1</v>
      </c>
      <c r="F18">
        <f>IF(Manifest[[#This Row],[Segment]]=E17,F17+1,1)</f>
        <v>5</v>
      </c>
      <c r="G18" t="str">
        <f>"Ros_"&amp;Manifest[[#This Row],[Day]]&amp;"_"&amp;Manifest[[#This Row],[Segment]]&amp;"_"&amp;TEXT(Manifest[[#This Row],[Seq]],"00")</f>
        <v>Ros_Lun_1_05</v>
      </c>
    </row>
    <row r="19" spans="1:7" x14ac:dyDescent="0.25">
      <c r="A19" t="s">
        <v>11</v>
      </c>
      <c r="B19" t="str">
        <f>Manifest[[#This Row],[newID]]</f>
        <v>Ros_Lun_1_06</v>
      </c>
      <c r="C19" t="s">
        <v>4</v>
      </c>
      <c r="D19" t="s">
        <v>59</v>
      </c>
      <c r="E19">
        <v>1</v>
      </c>
      <c r="F19">
        <f>IF(Manifest[[#This Row],[Segment]]=E18,F18+1,1)</f>
        <v>6</v>
      </c>
      <c r="G19" t="str">
        <f>"Ros_"&amp;Manifest[[#This Row],[Day]]&amp;"_"&amp;Manifest[[#This Row],[Segment]]&amp;"_"&amp;TEXT(Manifest[[#This Row],[Seq]],"00")</f>
        <v>Ros_Lun_1_06</v>
      </c>
    </row>
    <row r="20" spans="1:7" x14ac:dyDescent="0.25">
      <c r="A20" t="s">
        <v>11</v>
      </c>
      <c r="B20" t="str">
        <f>Manifest[[#This Row],[newID]]</f>
        <v>Ros_Lun_1_07</v>
      </c>
      <c r="C20" t="s">
        <v>4</v>
      </c>
      <c r="D20" t="s">
        <v>59</v>
      </c>
      <c r="E20">
        <v>1</v>
      </c>
      <c r="F20">
        <f>IF(Manifest[[#This Row],[Segment]]=E19,F19+1,1)</f>
        <v>7</v>
      </c>
      <c r="G20" t="str">
        <f>"Ros_"&amp;Manifest[[#This Row],[Day]]&amp;"_"&amp;Manifest[[#This Row],[Segment]]&amp;"_"&amp;TEXT(Manifest[[#This Row],[Seq]],"00")</f>
        <v>Ros_Lun_1_07</v>
      </c>
    </row>
    <row r="21" spans="1:7" x14ac:dyDescent="0.25">
      <c r="A21" t="s">
        <v>11</v>
      </c>
      <c r="B21" t="str">
        <f>Manifest[[#This Row],[newID]]</f>
        <v>Ros_Lun_1_08</v>
      </c>
      <c r="C21" t="s">
        <v>4</v>
      </c>
      <c r="D21" t="s">
        <v>59</v>
      </c>
      <c r="E21">
        <v>1</v>
      </c>
      <c r="F21">
        <f>IF(Manifest[[#This Row],[Segment]]=E20,F20+1,1)</f>
        <v>8</v>
      </c>
      <c r="G21" t="str">
        <f>"Ros_"&amp;Manifest[[#This Row],[Day]]&amp;"_"&amp;Manifest[[#This Row],[Segment]]&amp;"_"&amp;TEXT(Manifest[[#This Row],[Seq]],"00")</f>
        <v>Ros_Lun_1_08</v>
      </c>
    </row>
    <row r="22" spans="1:7" x14ac:dyDescent="0.25">
      <c r="A22" t="s">
        <v>11</v>
      </c>
      <c r="B22" t="str">
        <f>Manifest[[#This Row],[newID]]</f>
        <v>Ros_Lun_1_09</v>
      </c>
      <c r="C22" t="s">
        <v>4</v>
      </c>
      <c r="D22" t="s">
        <v>59</v>
      </c>
      <c r="E22">
        <v>1</v>
      </c>
      <c r="F22">
        <f>IF(Manifest[[#This Row],[Segment]]=E21,F21+1,1)</f>
        <v>9</v>
      </c>
      <c r="G22" t="str">
        <f>"Ros_"&amp;Manifest[[#This Row],[Day]]&amp;"_"&amp;Manifest[[#This Row],[Segment]]&amp;"_"&amp;TEXT(Manifest[[#This Row],[Seq]],"00")</f>
        <v>Ros_Lun_1_09</v>
      </c>
    </row>
    <row r="23" spans="1:7" x14ac:dyDescent="0.25">
      <c r="A23" t="s">
        <v>11</v>
      </c>
      <c r="B23" t="str">
        <f>Manifest[[#This Row],[newID]]</f>
        <v>Ros_Lun_1_10</v>
      </c>
      <c r="C23" t="s">
        <v>4</v>
      </c>
      <c r="D23" t="s">
        <v>59</v>
      </c>
      <c r="E23">
        <v>1</v>
      </c>
      <c r="F23">
        <f>IF(Manifest[[#This Row],[Segment]]=E22,F22+1,1)</f>
        <v>10</v>
      </c>
      <c r="G23" t="str">
        <f>"Ros_"&amp;Manifest[[#This Row],[Day]]&amp;"_"&amp;Manifest[[#This Row],[Segment]]&amp;"_"&amp;TEXT(Manifest[[#This Row],[Seq]],"00")</f>
        <v>Ros_Lun_1_10</v>
      </c>
    </row>
    <row r="24" spans="1:7" x14ac:dyDescent="0.25">
      <c r="A24" t="s">
        <v>11</v>
      </c>
      <c r="B24" t="str">
        <f>Manifest[[#This Row],[newID]]</f>
        <v>Ros_Lun_1_11</v>
      </c>
      <c r="C24" t="s">
        <v>4</v>
      </c>
      <c r="D24" t="s">
        <v>59</v>
      </c>
      <c r="E24">
        <v>1</v>
      </c>
      <c r="F24">
        <f>IF(Manifest[[#This Row],[Segment]]=E23,F23+1,1)</f>
        <v>11</v>
      </c>
      <c r="G24" t="str">
        <f>"Ros_"&amp;Manifest[[#This Row],[Day]]&amp;"_"&amp;Manifest[[#This Row],[Segment]]&amp;"_"&amp;TEXT(Manifest[[#This Row],[Seq]],"00")</f>
        <v>Ros_Lun_1_11</v>
      </c>
    </row>
    <row r="25" spans="1:7" x14ac:dyDescent="0.25">
      <c r="A25" t="s">
        <v>11</v>
      </c>
      <c r="B25" t="str">
        <f>Manifest[[#This Row],[newID]]</f>
        <v>Ros_Lun_1_12</v>
      </c>
      <c r="C25" t="s">
        <v>4</v>
      </c>
      <c r="D25" t="s">
        <v>59</v>
      </c>
      <c r="E25">
        <v>1</v>
      </c>
      <c r="F25">
        <f>IF(Manifest[[#This Row],[Segment]]=E24,F24+1,1)</f>
        <v>12</v>
      </c>
      <c r="G25" t="str">
        <f>"Ros_"&amp;Manifest[[#This Row],[Day]]&amp;"_"&amp;Manifest[[#This Row],[Segment]]&amp;"_"&amp;TEXT(Manifest[[#This Row],[Seq]],"00")</f>
        <v>Ros_Lun_1_12</v>
      </c>
    </row>
    <row r="26" spans="1:7" x14ac:dyDescent="0.25">
      <c r="A26" t="s">
        <v>12</v>
      </c>
      <c r="B26" t="str">
        <f>Manifest[[#This Row],[newID]]</f>
        <v>Ros_Lun_1_13</v>
      </c>
      <c r="C26" t="s">
        <v>4</v>
      </c>
      <c r="D26" t="s">
        <v>59</v>
      </c>
      <c r="E26">
        <v>1</v>
      </c>
      <c r="F26">
        <f>IF(Manifest[[#This Row],[Segment]]=E25,F25+1,1)</f>
        <v>13</v>
      </c>
      <c r="G26" t="str">
        <f>"Ros_"&amp;Manifest[[#This Row],[Day]]&amp;"_"&amp;Manifest[[#This Row],[Segment]]&amp;"_"&amp;TEXT(Manifest[[#This Row],[Seq]],"00")</f>
        <v>Ros_Lun_1_13</v>
      </c>
    </row>
    <row r="27" spans="1:7" x14ac:dyDescent="0.25">
      <c r="A27" t="s">
        <v>15</v>
      </c>
      <c r="B27" t="str">
        <f>Manifest[[#This Row],[newID]]</f>
        <v>Ros_Lun_1_14</v>
      </c>
      <c r="C27" t="s">
        <v>4</v>
      </c>
      <c r="D27" t="s">
        <v>59</v>
      </c>
      <c r="E27">
        <v>1</v>
      </c>
      <c r="F27">
        <f>IF(Manifest[[#This Row],[Segment]]=E26,F26+1,1)</f>
        <v>14</v>
      </c>
      <c r="G27" t="str">
        <f>"Ros_"&amp;Manifest[[#This Row],[Day]]&amp;"_"&amp;Manifest[[#This Row],[Segment]]&amp;"_"&amp;TEXT(Manifest[[#This Row],[Seq]],"00")</f>
        <v>Ros_Lun_1_14</v>
      </c>
    </row>
    <row r="28" spans="1:7" x14ac:dyDescent="0.25">
      <c r="A28" t="s">
        <v>16</v>
      </c>
      <c r="B28" t="str">
        <f>Manifest[[#This Row],[newID]]</f>
        <v>Ros_Lun_2_01</v>
      </c>
      <c r="C28" t="s">
        <v>4</v>
      </c>
      <c r="D28" t="s">
        <v>59</v>
      </c>
      <c r="E28">
        <v>2</v>
      </c>
      <c r="F28">
        <f>IF(Manifest[[#This Row],[Segment]]=E27,F27+1,1)</f>
        <v>1</v>
      </c>
      <c r="G28" t="str">
        <f>"Ros_"&amp;Manifest[[#This Row],[Day]]&amp;"_"&amp;Manifest[[#This Row],[Segment]]&amp;"_"&amp;TEXT(Manifest[[#This Row],[Seq]],"00")</f>
        <v>Ros_Lun_2_01</v>
      </c>
    </row>
    <row r="29" spans="1:7" x14ac:dyDescent="0.25">
      <c r="A29" t="s">
        <v>10</v>
      </c>
      <c r="B29" t="str">
        <f>Manifest[[#This Row],[newID]]</f>
        <v>Ros_Lun_2_02</v>
      </c>
      <c r="C29" t="s">
        <v>4</v>
      </c>
      <c r="D29" t="s">
        <v>59</v>
      </c>
      <c r="E29">
        <v>2</v>
      </c>
      <c r="F29">
        <f>IF(Manifest[[#This Row],[Segment]]=E28,F28+1,1)</f>
        <v>2</v>
      </c>
      <c r="G29" t="str">
        <f>"Ros_"&amp;Manifest[[#This Row],[Day]]&amp;"_"&amp;Manifest[[#This Row],[Segment]]&amp;"_"&amp;TEXT(Manifest[[#This Row],[Seq]],"00")</f>
        <v>Ros_Lun_2_02</v>
      </c>
    </row>
    <row r="30" spans="1:7" x14ac:dyDescent="0.25">
      <c r="A30" t="s">
        <v>11</v>
      </c>
      <c r="B30" t="str">
        <f>Manifest[[#This Row],[newID]]</f>
        <v>Ros_Lun_2_03</v>
      </c>
      <c r="C30" t="s">
        <v>4</v>
      </c>
      <c r="D30" t="s">
        <v>59</v>
      </c>
      <c r="E30">
        <v>2</v>
      </c>
      <c r="F30">
        <f>IF(Manifest[[#This Row],[Segment]]=E29,F29+1,1)</f>
        <v>3</v>
      </c>
      <c r="G30" t="str">
        <f>"Ros_"&amp;Manifest[[#This Row],[Day]]&amp;"_"&amp;Manifest[[#This Row],[Segment]]&amp;"_"&amp;TEXT(Manifest[[#This Row],[Seq]],"00")</f>
        <v>Ros_Lun_2_03</v>
      </c>
    </row>
    <row r="31" spans="1:7" x14ac:dyDescent="0.25">
      <c r="A31" t="s">
        <v>11</v>
      </c>
      <c r="B31" t="str">
        <f>Manifest[[#This Row],[newID]]</f>
        <v>Ros_Lun_2_04</v>
      </c>
      <c r="C31" t="s">
        <v>4</v>
      </c>
      <c r="D31" t="s">
        <v>59</v>
      </c>
      <c r="E31">
        <v>2</v>
      </c>
      <c r="F31">
        <f>IF(Manifest[[#This Row],[Segment]]=E30,F30+1,1)</f>
        <v>4</v>
      </c>
      <c r="G31" t="str">
        <f>"Ros_"&amp;Manifest[[#This Row],[Day]]&amp;"_"&amp;Manifest[[#This Row],[Segment]]&amp;"_"&amp;TEXT(Manifest[[#This Row],[Seq]],"00")</f>
        <v>Ros_Lun_2_04</v>
      </c>
    </row>
    <row r="32" spans="1:7" x14ac:dyDescent="0.25">
      <c r="A32" t="s">
        <v>11</v>
      </c>
      <c r="B32" t="str">
        <f>Manifest[[#This Row],[newID]]</f>
        <v>Ros_Lun_2_05</v>
      </c>
      <c r="C32" t="s">
        <v>4</v>
      </c>
      <c r="D32" t="s">
        <v>59</v>
      </c>
      <c r="E32">
        <v>2</v>
      </c>
      <c r="F32">
        <f>IF(Manifest[[#This Row],[Segment]]=E31,F31+1,1)</f>
        <v>5</v>
      </c>
      <c r="G32" t="str">
        <f>"Ros_"&amp;Manifest[[#This Row],[Day]]&amp;"_"&amp;Manifest[[#This Row],[Segment]]&amp;"_"&amp;TEXT(Manifest[[#This Row],[Seq]],"00")</f>
        <v>Ros_Lun_2_05</v>
      </c>
    </row>
    <row r="33" spans="1:7" x14ac:dyDescent="0.25">
      <c r="A33" t="s">
        <v>11</v>
      </c>
      <c r="B33" t="str">
        <f>Manifest[[#This Row],[newID]]</f>
        <v>Ros_Lun_2_06</v>
      </c>
      <c r="C33" t="s">
        <v>4</v>
      </c>
      <c r="D33" t="s">
        <v>59</v>
      </c>
      <c r="E33">
        <v>2</v>
      </c>
      <c r="F33">
        <f>IF(Manifest[[#This Row],[Segment]]=E32,F32+1,1)</f>
        <v>6</v>
      </c>
      <c r="G33" t="str">
        <f>"Ros_"&amp;Manifest[[#This Row],[Day]]&amp;"_"&amp;Manifest[[#This Row],[Segment]]&amp;"_"&amp;TEXT(Manifest[[#This Row],[Seq]],"00")</f>
        <v>Ros_Lun_2_06</v>
      </c>
    </row>
    <row r="34" spans="1:7" x14ac:dyDescent="0.25">
      <c r="A34" t="s">
        <v>11</v>
      </c>
      <c r="B34" t="str">
        <f>Manifest[[#This Row],[newID]]</f>
        <v>Ros_Lun_2_07</v>
      </c>
      <c r="C34" t="s">
        <v>4</v>
      </c>
      <c r="D34" t="s">
        <v>59</v>
      </c>
      <c r="E34">
        <v>2</v>
      </c>
      <c r="F34">
        <f>IF(Manifest[[#This Row],[Segment]]=E33,F33+1,1)</f>
        <v>7</v>
      </c>
      <c r="G34" t="str">
        <f>"Ros_"&amp;Manifest[[#This Row],[Day]]&amp;"_"&amp;Manifest[[#This Row],[Segment]]&amp;"_"&amp;TEXT(Manifest[[#This Row],[Seq]],"00")</f>
        <v>Ros_Lun_2_07</v>
      </c>
    </row>
    <row r="35" spans="1:7" x14ac:dyDescent="0.25">
      <c r="A35" t="s">
        <v>11</v>
      </c>
      <c r="B35" t="str">
        <f>Manifest[[#This Row],[newID]]</f>
        <v>Ros_Lun_2_08</v>
      </c>
      <c r="C35" t="s">
        <v>4</v>
      </c>
      <c r="D35" t="s">
        <v>59</v>
      </c>
      <c r="E35">
        <v>2</v>
      </c>
      <c r="F35">
        <f>IF(Manifest[[#This Row],[Segment]]=E34,F34+1,1)</f>
        <v>8</v>
      </c>
      <c r="G35" t="str">
        <f>"Ros_"&amp;Manifest[[#This Row],[Day]]&amp;"_"&amp;Manifest[[#This Row],[Segment]]&amp;"_"&amp;TEXT(Manifest[[#This Row],[Seq]],"00")</f>
        <v>Ros_Lun_2_08</v>
      </c>
    </row>
    <row r="36" spans="1:7" x14ac:dyDescent="0.25">
      <c r="A36" t="s">
        <v>11</v>
      </c>
      <c r="B36" t="str">
        <f>Manifest[[#This Row],[newID]]</f>
        <v>Ros_Lun_2_09</v>
      </c>
      <c r="C36" t="s">
        <v>4</v>
      </c>
      <c r="D36" t="s">
        <v>59</v>
      </c>
      <c r="E36">
        <v>2</v>
      </c>
      <c r="F36">
        <f>IF(Manifest[[#This Row],[Segment]]=E35,F35+1,1)</f>
        <v>9</v>
      </c>
      <c r="G36" t="str">
        <f>"Ros_"&amp;Manifest[[#This Row],[Day]]&amp;"_"&amp;Manifest[[#This Row],[Segment]]&amp;"_"&amp;TEXT(Manifest[[#This Row],[Seq]],"00")</f>
        <v>Ros_Lun_2_09</v>
      </c>
    </row>
    <row r="37" spans="1:7" x14ac:dyDescent="0.25">
      <c r="A37" t="s">
        <v>11</v>
      </c>
      <c r="B37" t="str">
        <f>Manifest[[#This Row],[newID]]</f>
        <v>Ros_Lun_2_10</v>
      </c>
      <c r="C37" t="s">
        <v>4</v>
      </c>
      <c r="D37" t="s">
        <v>59</v>
      </c>
      <c r="E37">
        <v>2</v>
      </c>
      <c r="F37">
        <f>IF(Manifest[[#This Row],[Segment]]=E36,F36+1,1)</f>
        <v>10</v>
      </c>
      <c r="G37" t="str">
        <f>"Ros_"&amp;Manifest[[#This Row],[Day]]&amp;"_"&amp;Manifest[[#This Row],[Segment]]&amp;"_"&amp;TEXT(Manifest[[#This Row],[Seq]],"00")</f>
        <v>Ros_Lun_2_10</v>
      </c>
    </row>
    <row r="38" spans="1:7" x14ac:dyDescent="0.25">
      <c r="A38" t="s">
        <v>11</v>
      </c>
      <c r="B38" t="str">
        <f>Manifest[[#This Row],[newID]]</f>
        <v>Ros_Lun_2_11</v>
      </c>
      <c r="C38" t="s">
        <v>4</v>
      </c>
      <c r="D38" t="s">
        <v>59</v>
      </c>
      <c r="E38">
        <v>2</v>
      </c>
      <c r="F38">
        <f>IF(Manifest[[#This Row],[Segment]]=E37,F37+1,1)</f>
        <v>11</v>
      </c>
      <c r="G38" t="str">
        <f>"Ros_"&amp;Manifest[[#This Row],[Day]]&amp;"_"&amp;Manifest[[#This Row],[Segment]]&amp;"_"&amp;TEXT(Manifest[[#This Row],[Seq]],"00")</f>
        <v>Ros_Lun_2_11</v>
      </c>
    </row>
    <row r="39" spans="1:7" x14ac:dyDescent="0.25">
      <c r="A39" t="s">
        <v>11</v>
      </c>
      <c r="B39" t="str">
        <f>Manifest[[#This Row],[newID]]</f>
        <v>Ros_Lun_2_12</v>
      </c>
      <c r="C39" t="s">
        <v>4</v>
      </c>
      <c r="D39" t="s">
        <v>59</v>
      </c>
      <c r="E39">
        <v>2</v>
      </c>
      <c r="F39">
        <f>IF(Manifest[[#This Row],[Segment]]=E38,F38+1,1)</f>
        <v>12</v>
      </c>
      <c r="G39" t="str">
        <f>"Ros_"&amp;Manifest[[#This Row],[Day]]&amp;"_"&amp;Manifest[[#This Row],[Segment]]&amp;"_"&amp;TEXT(Manifest[[#This Row],[Seq]],"00")</f>
        <v>Ros_Lun_2_12</v>
      </c>
    </row>
    <row r="40" spans="1:7" x14ac:dyDescent="0.25">
      <c r="A40" t="s">
        <v>12</v>
      </c>
      <c r="B40" t="str">
        <f>Manifest[[#This Row],[newID]]</f>
        <v>Ros_Lun_2_13</v>
      </c>
      <c r="C40" t="s">
        <v>4</v>
      </c>
      <c r="D40" t="s">
        <v>59</v>
      </c>
      <c r="E40">
        <v>2</v>
      </c>
      <c r="F40">
        <f>IF(Manifest[[#This Row],[Segment]]=E39,F39+1,1)</f>
        <v>13</v>
      </c>
      <c r="G40" t="str">
        <f>"Ros_"&amp;Manifest[[#This Row],[Day]]&amp;"_"&amp;Manifest[[#This Row],[Segment]]&amp;"_"&amp;TEXT(Manifest[[#This Row],[Seq]],"00")</f>
        <v>Ros_Lun_2_13</v>
      </c>
    </row>
    <row r="41" spans="1:7" x14ac:dyDescent="0.25">
      <c r="A41" t="s">
        <v>15</v>
      </c>
      <c r="B41" t="str">
        <f>Manifest[[#This Row],[newID]]</f>
        <v>Ros_Lun_2_14</v>
      </c>
      <c r="C41" t="s">
        <v>4</v>
      </c>
      <c r="D41" t="s">
        <v>59</v>
      </c>
      <c r="E41">
        <v>2</v>
      </c>
      <c r="F41">
        <f>IF(Manifest[[#This Row],[Segment]]=E40,F40+1,1)</f>
        <v>14</v>
      </c>
      <c r="G41" t="str">
        <f>"Ros_"&amp;Manifest[[#This Row],[Day]]&amp;"_"&amp;Manifest[[#This Row],[Segment]]&amp;"_"&amp;TEXT(Manifest[[#This Row],[Seq]],"00")</f>
        <v>Ros_Lun_2_14</v>
      </c>
    </row>
    <row r="42" spans="1:7" x14ac:dyDescent="0.25">
      <c r="A42" t="s">
        <v>17</v>
      </c>
      <c r="B42" t="str">
        <f>Manifest[[#This Row],[newID]]</f>
        <v>Ros_Lun_3_01</v>
      </c>
      <c r="C42" t="s">
        <v>4</v>
      </c>
      <c r="D42" t="s">
        <v>59</v>
      </c>
      <c r="E42">
        <v>3</v>
      </c>
      <c r="F42">
        <f>IF(Manifest[[#This Row],[Segment]]=E41,F41+1,1)</f>
        <v>1</v>
      </c>
      <c r="G42" t="str">
        <f>"Ros_"&amp;Manifest[[#This Row],[Day]]&amp;"_"&amp;Manifest[[#This Row],[Segment]]&amp;"_"&amp;TEXT(Manifest[[#This Row],[Seq]],"00")</f>
        <v>Ros_Lun_3_01</v>
      </c>
    </row>
    <row r="43" spans="1:7" x14ac:dyDescent="0.25">
      <c r="A43" t="s">
        <v>10</v>
      </c>
      <c r="B43" t="str">
        <f>Manifest[[#This Row],[newID]]</f>
        <v>Ros_Lun_3_02</v>
      </c>
      <c r="C43" t="s">
        <v>4</v>
      </c>
      <c r="D43" t="s">
        <v>59</v>
      </c>
      <c r="E43">
        <v>3</v>
      </c>
      <c r="F43">
        <f>IF(Manifest[[#This Row],[Segment]]=E42,F42+1,1)</f>
        <v>2</v>
      </c>
      <c r="G43" t="str">
        <f>"Ros_"&amp;Manifest[[#This Row],[Day]]&amp;"_"&amp;Manifest[[#This Row],[Segment]]&amp;"_"&amp;TEXT(Manifest[[#This Row],[Seq]],"00")</f>
        <v>Ros_Lun_3_02</v>
      </c>
    </row>
    <row r="44" spans="1:7" x14ac:dyDescent="0.25">
      <c r="A44" t="s">
        <v>11</v>
      </c>
      <c r="B44" t="str">
        <f>Manifest[[#This Row],[newID]]</f>
        <v>Ros_Lun_3_03</v>
      </c>
      <c r="C44" t="s">
        <v>4</v>
      </c>
      <c r="D44" t="s">
        <v>59</v>
      </c>
      <c r="E44">
        <v>3</v>
      </c>
      <c r="F44">
        <f>IF(Manifest[[#This Row],[Segment]]=E43,F43+1,1)</f>
        <v>3</v>
      </c>
      <c r="G44" t="str">
        <f>"Ros_"&amp;Manifest[[#This Row],[Day]]&amp;"_"&amp;Manifest[[#This Row],[Segment]]&amp;"_"&amp;TEXT(Manifest[[#This Row],[Seq]],"00")</f>
        <v>Ros_Lun_3_03</v>
      </c>
    </row>
    <row r="45" spans="1:7" x14ac:dyDescent="0.25">
      <c r="A45" t="s">
        <v>11</v>
      </c>
      <c r="B45" t="str">
        <f>Manifest[[#This Row],[newID]]</f>
        <v>Ros_Lun_3_04</v>
      </c>
      <c r="C45" t="s">
        <v>4</v>
      </c>
      <c r="D45" t="s">
        <v>59</v>
      </c>
      <c r="E45">
        <v>3</v>
      </c>
      <c r="F45">
        <f>IF(Manifest[[#This Row],[Segment]]=E44,F44+1,1)</f>
        <v>4</v>
      </c>
      <c r="G45" t="str">
        <f>"Ros_"&amp;Manifest[[#This Row],[Day]]&amp;"_"&amp;Manifest[[#This Row],[Segment]]&amp;"_"&amp;TEXT(Manifest[[#This Row],[Seq]],"00")</f>
        <v>Ros_Lun_3_04</v>
      </c>
    </row>
    <row r="46" spans="1:7" x14ac:dyDescent="0.25">
      <c r="A46" t="s">
        <v>11</v>
      </c>
      <c r="B46" t="str">
        <f>Manifest[[#This Row],[newID]]</f>
        <v>Ros_Lun_3_05</v>
      </c>
      <c r="C46" t="s">
        <v>4</v>
      </c>
      <c r="D46" t="s">
        <v>59</v>
      </c>
      <c r="E46">
        <v>3</v>
      </c>
      <c r="F46">
        <f>IF(Manifest[[#This Row],[Segment]]=E45,F45+1,1)</f>
        <v>5</v>
      </c>
      <c r="G46" t="str">
        <f>"Ros_"&amp;Manifest[[#This Row],[Day]]&amp;"_"&amp;Manifest[[#This Row],[Segment]]&amp;"_"&amp;TEXT(Manifest[[#This Row],[Seq]],"00")</f>
        <v>Ros_Lun_3_05</v>
      </c>
    </row>
    <row r="47" spans="1:7" x14ac:dyDescent="0.25">
      <c r="A47" t="s">
        <v>11</v>
      </c>
      <c r="B47" t="str">
        <f>Manifest[[#This Row],[newID]]</f>
        <v>Ros_Lun_3_06</v>
      </c>
      <c r="C47" t="s">
        <v>4</v>
      </c>
      <c r="D47" t="s">
        <v>59</v>
      </c>
      <c r="E47">
        <v>3</v>
      </c>
      <c r="F47">
        <f>IF(Manifest[[#This Row],[Segment]]=E46,F46+1,1)</f>
        <v>6</v>
      </c>
      <c r="G47" t="str">
        <f>"Ros_"&amp;Manifest[[#This Row],[Day]]&amp;"_"&amp;Manifest[[#This Row],[Segment]]&amp;"_"&amp;TEXT(Manifest[[#This Row],[Seq]],"00")</f>
        <v>Ros_Lun_3_06</v>
      </c>
    </row>
    <row r="48" spans="1:7" x14ac:dyDescent="0.25">
      <c r="A48" t="s">
        <v>11</v>
      </c>
      <c r="B48" t="str">
        <f>Manifest[[#This Row],[newID]]</f>
        <v>Ros_Lun_3_07</v>
      </c>
      <c r="C48" t="s">
        <v>4</v>
      </c>
      <c r="D48" t="s">
        <v>59</v>
      </c>
      <c r="E48">
        <v>3</v>
      </c>
      <c r="F48">
        <f>IF(Manifest[[#This Row],[Segment]]=E47,F47+1,1)</f>
        <v>7</v>
      </c>
      <c r="G48" t="str">
        <f>"Ros_"&amp;Manifest[[#This Row],[Day]]&amp;"_"&amp;Manifest[[#This Row],[Segment]]&amp;"_"&amp;TEXT(Manifest[[#This Row],[Seq]],"00")</f>
        <v>Ros_Lun_3_07</v>
      </c>
    </row>
    <row r="49" spans="1:7" x14ac:dyDescent="0.25">
      <c r="A49" t="s">
        <v>11</v>
      </c>
      <c r="B49" t="str">
        <f>Manifest[[#This Row],[newID]]</f>
        <v>Ros_Lun_3_08</v>
      </c>
      <c r="C49" t="s">
        <v>4</v>
      </c>
      <c r="D49" t="s">
        <v>59</v>
      </c>
      <c r="E49">
        <v>3</v>
      </c>
      <c r="F49">
        <f>IF(Manifest[[#This Row],[Segment]]=E48,F48+1,1)</f>
        <v>8</v>
      </c>
      <c r="G49" t="str">
        <f>"Ros_"&amp;Manifest[[#This Row],[Day]]&amp;"_"&amp;Manifest[[#This Row],[Segment]]&amp;"_"&amp;TEXT(Manifest[[#This Row],[Seq]],"00")</f>
        <v>Ros_Lun_3_08</v>
      </c>
    </row>
    <row r="50" spans="1:7" x14ac:dyDescent="0.25">
      <c r="A50" t="s">
        <v>11</v>
      </c>
      <c r="B50" t="str">
        <f>Manifest[[#This Row],[newID]]</f>
        <v>Ros_Lun_3_09</v>
      </c>
      <c r="C50" t="s">
        <v>4</v>
      </c>
      <c r="D50" t="s">
        <v>59</v>
      </c>
      <c r="E50">
        <v>3</v>
      </c>
      <c r="F50">
        <f>IF(Manifest[[#This Row],[Segment]]=E49,F49+1,1)</f>
        <v>9</v>
      </c>
      <c r="G50" t="str">
        <f>"Ros_"&amp;Manifest[[#This Row],[Day]]&amp;"_"&amp;Manifest[[#This Row],[Segment]]&amp;"_"&amp;TEXT(Manifest[[#This Row],[Seq]],"00")</f>
        <v>Ros_Lun_3_09</v>
      </c>
    </row>
    <row r="51" spans="1:7" x14ac:dyDescent="0.25">
      <c r="A51" t="s">
        <v>11</v>
      </c>
      <c r="B51" t="str">
        <f>Manifest[[#This Row],[newID]]</f>
        <v>Ros_Lun_3_10</v>
      </c>
      <c r="C51" t="s">
        <v>4</v>
      </c>
      <c r="D51" t="s">
        <v>59</v>
      </c>
      <c r="E51">
        <v>3</v>
      </c>
      <c r="F51">
        <f>IF(Manifest[[#This Row],[Segment]]=E50,F50+1,1)</f>
        <v>10</v>
      </c>
      <c r="G51" t="str">
        <f>"Ros_"&amp;Manifest[[#This Row],[Day]]&amp;"_"&amp;Manifest[[#This Row],[Segment]]&amp;"_"&amp;TEXT(Manifest[[#This Row],[Seq]],"00")</f>
        <v>Ros_Lun_3_10</v>
      </c>
    </row>
    <row r="52" spans="1:7" x14ac:dyDescent="0.25">
      <c r="A52" t="s">
        <v>11</v>
      </c>
      <c r="B52" t="str">
        <f>Manifest[[#This Row],[newID]]</f>
        <v>Ros_Lun_3_11</v>
      </c>
      <c r="C52" t="s">
        <v>4</v>
      </c>
      <c r="D52" t="s">
        <v>59</v>
      </c>
      <c r="E52">
        <v>3</v>
      </c>
      <c r="F52">
        <f>IF(Manifest[[#This Row],[Segment]]=E51,F51+1,1)</f>
        <v>11</v>
      </c>
      <c r="G52" t="str">
        <f>"Ros_"&amp;Manifest[[#This Row],[Day]]&amp;"_"&amp;Manifest[[#This Row],[Segment]]&amp;"_"&amp;TEXT(Manifest[[#This Row],[Seq]],"00")</f>
        <v>Ros_Lun_3_11</v>
      </c>
    </row>
    <row r="53" spans="1:7" x14ac:dyDescent="0.25">
      <c r="A53" t="s">
        <v>11</v>
      </c>
      <c r="B53" t="str">
        <f>Manifest[[#This Row],[newID]]</f>
        <v>Ros_Lun_3_12</v>
      </c>
      <c r="C53" t="s">
        <v>4</v>
      </c>
      <c r="D53" t="s">
        <v>59</v>
      </c>
      <c r="E53">
        <v>3</v>
      </c>
      <c r="F53">
        <f>IF(Manifest[[#This Row],[Segment]]=E52,F52+1,1)</f>
        <v>12</v>
      </c>
      <c r="G53" t="str">
        <f>"Ros_"&amp;Manifest[[#This Row],[Day]]&amp;"_"&amp;Manifest[[#This Row],[Segment]]&amp;"_"&amp;TEXT(Manifest[[#This Row],[Seq]],"00")</f>
        <v>Ros_Lun_3_12</v>
      </c>
    </row>
    <row r="54" spans="1:7" x14ac:dyDescent="0.25">
      <c r="A54" t="s">
        <v>12</v>
      </c>
      <c r="B54" t="str">
        <f>Manifest[[#This Row],[newID]]</f>
        <v>Ros_Lun_3_13</v>
      </c>
      <c r="C54" t="s">
        <v>4</v>
      </c>
      <c r="D54" t="s">
        <v>59</v>
      </c>
      <c r="E54">
        <v>3</v>
      </c>
      <c r="F54">
        <f>IF(Manifest[[#This Row],[Segment]]=E53,F53+1,1)</f>
        <v>13</v>
      </c>
      <c r="G54" t="str">
        <f>"Ros_"&amp;Manifest[[#This Row],[Day]]&amp;"_"&amp;Manifest[[#This Row],[Segment]]&amp;"_"&amp;TEXT(Manifest[[#This Row],[Seq]],"00")</f>
        <v>Ros_Lun_3_13</v>
      </c>
    </row>
    <row r="55" spans="1:7" x14ac:dyDescent="0.25">
      <c r="A55" t="s">
        <v>15</v>
      </c>
      <c r="B55" t="str">
        <f>Manifest[[#This Row],[newID]]</f>
        <v>Ros_Lun_4_01</v>
      </c>
      <c r="C55" t="s">
        <v>4</v>
      </c>
      <c r="D55" t="s">
        <v>59</v>
      </c>
      <c r="E55">
        <v>4</v>
      </c>
      <c r="F55">
        <f>IF(Manifest[[#This Row],[Segment]]=E54,F54+1,1)</f>
        <v>1</v>
      </c>
      <c r="G55" t="str">
        <f>"Ros_"&amp;Manifest[[#This Row],[Day]]&amp;"_"&amp;Manifest[[#This Row],[Segment]]&amp;"_"&amp;TEXT(Manifest[[#This Row],[Seq]],"00")</f>
        <v>Ros_Lun_4_01</v>
      </c>
    </row>
    <row r="56" spans="1:7" x14ac:dyDescent="0.25">
      <c r="A56" t="s">
        <v>18</v>
      </c>
      <c r="B56" t="str">
        <f>Manifest[[#This Row],[newID]]</f>
        <v>Ros_Lun_4_02</v>
      </c>
      <c r="C56" t="s">
        <v>4</v>
      </c>
      <c r="D56" t="s">
        <v>59</v>
      </c>
      <c r="E56">
        <v>4</v>
      </c>
      <c r="F56">
        <f>IF(Manifest[[#This Row],[Segment]]=E55,F55+1,1)</f>
        <v>2</v>
      </c>
      <c r="G56" t="str">
        <f>"Ros_"&amp;Manifest[[#This Row],[Day]]&amp;"_"&amp;Manifest[[#This Row],[Segment]]&amp;"_"&amp;TEXT(Manifest[[#This Row],[Seq]],"00")</f>
        <v>Ros_Lun_4_02</v>
      </c>
    </row>
    <row r="57" spans="1:7" x14ac:dyDescent="0.25">
      <c r="A57" t="s">
        <v>10</v>
      </c>
      <c r="B57" t="str">
        <f>Manifest[[#This Row],[newID]]</f>
        <v>Ros_Lun_4_03</v>
      </c>
      <c r="C57" t="s">
        <v>4</v>
      </c>
      <c r="D57" t="s">
        <v>59</v>
      </c>
      <c r="E57">
        <v>4</v>
      </c>
      <c r="F57">
        <f>IF(Manifest[[#This Row],[Segment]]=E56,F56+1,1)</f>
        <v>3</v>
      </c>
      <c r="G57" t="str">
        <f>"Ros_"&amp;Manifest[[#This Row],[Day]]&amp;"_"&amp;Manifest[[#This Row],[Segment]]&amp;"_"&amp;TEXT(Manifest[[#This Row],[Seq]],"00")</f>
        <v>Ros_Lun_4_03</v>
      </c>
    </row>
    <row r="58" spans="1:7" x14ac:dyDescent="0.25">
      <c r="A58" t="s">
        <v>11</v>
      </c>
      <c r="B58" t="str">
        <f>Manifest[[#This Row],[newID]]</f>
        <v>Ros_Lun_4_04</v>
      </c>
      <c r="C58" t="s">
        <v>4</v>
      </c>
      <c r="D58" t="s">
        <v>59</v>
      </c>
      <c r="E58">
        <v>4</v>
      </c>
      <c r="F58">
        <f>IF(Manifest[[#This Row],[Segment]]=E57,F57+1,1)</f>
        <v>4</v>
      </c>
      <c r="G58" t="str">
        <f>"Ros_"&amp;Manifest[[#This Row],[Day]]&amp;"_"&amp;Manifest[[#This Row],[Segment]]&amp;"_"&amp;TEXT(Manifest[[#This Row],[Seq]],"00")</f>
        <v>Ros_Lun_4_04</v>
      </c>
    </row>
    <row r="59" spans="1:7" x14ac:dyDescent="0.25">
      <c r="A59" t="s">
        <v>11</v>
      </c>
      <c r="B59" t="str">
        <f>Manifest[[#This Row],[newID]]</f>
        <v>Ros_Lun_4_05</v>
      </c>
      <c r="C59" t="s">
        <v>4</v>
      </c>
      <c r="D59" t="s">
        <v>59</v>
      </c>
      <c r="E59">
        <v>4</v>
      </c>
      <c r="F59">
        <f>IF(Manifest[[#This Row],[Segment]]=E58,F58+1,1)</f>
        <v>5</v>
      </c>
      <c r="G59" t="str">
        <f>"Ros_"&amp;Manifest[[#This Row],[Day]]&amp;"_"&amp;Manifest[[#This Row],[Segment]]&amp;"_"&amp;TEXT(Manifest[[#This Row],[Seq]],"00")</f>
        <v>Ros_Lun_4_05</v>
      </c>
    </row>
    <row r="60" spans="1:7" x14ac:dyDescent="0.25">
      <c r="A60" t="s">
        <v>11</v>
      </c>
      <c r="B60" t="str">
        <f>Manifest[[#This Row],[newID]]</f>
        <v>Ros_Lun_4_06</v>
      </c>
      <c r="C60" t="s">
        <v>4</v>
      </c>
      <c r="D60" t="s">
        <v>59</v>
      </c>
      <c r="E60">
        <v>4</v>
      </c>
      <c r="F60">
        <f>IF(Manifest[[#This Row],[Segment]]=E59,F59+1,1)</f>
        <v>6</v>
      </c>
      <c r="G60" t="str">
        <f>"Ros_"&amp;Manifest[[#This Row],[Day]]&amp;"_"&amp;Manifest[[#This Row],[Segment]]&amp;"_"&amp;TEXT(Manifest[[#This Row],[Seq]],"00")</f>
        <v>Ros_Lun_4_06</v>
      </c>
    </row>
    <row r="61" spans="1:7" x14ac:dyDescent="0.25">
      <c r="A61" t="s">
        <v>11</v>
      </c>
      <c r="B61" t="str">
        <f>Manifest[[#This Row],[newID]]</f>
        <v>Ros_Lun_4_07</v>
      </c>
      <c r="C61" t="s">
        <v>4</v>
      </c>
      <c r="D61" t="s">
        <v>59</v>
      </c>
      <c r="E61">
        <v>4</v>
      </c>
      <c r="F61">
        <f>IF(Manifest[[#This Row],[Segment]]=E60,F60+1,1)</f>
        <v>7</v>
      </c>
      <c r="G61" t="str">
        <f>"Ros_"&amp;Manifest[[#This Row],[Day]]&amp;"_"&amp;Manifest[[#This Row],[Segment]]&amp;"_"&amp;TEXT(Manifest[[#This Row],[Seq]],"00")</f>
        <v>Ros_Lun_4_07</v>
      </c>
    </row>
    <row r="62" spans="1:7" x14ac:dyDescent="0.25">
      <c r="A62" t="s">
        <v>11</v>
      </c>
      <c r="B62" t="str">
        <f>Manifest[[#This Row],[newID]]</f>
        <v>Ros_Lun_4_08</v>
      </c>
      <c r="C62" t="s">
        <v>4</v>
      </c>
      <c r="D62" t="s">
        <v>59</v>
      </c>
      <c r="E62">
        <v>4</v>
      </c>
      <c r="F62">
        <f>IF(Manifest[[#This Row],[Segment]]=E61,F61+1,1)</f>
        <v>8</v>
      </c>
      <c r="G62" t="str">
        <f>"Ros_"&amp;Manifest[[#This Row],[Day]]&amp;"_"&amp;Manifest[[#This Row],[Segment]]&amp;"_"&amp;TEXT(Manifest[[#This Row],[Seq]],"00")</f>
        <v>Ros_Lun_4_08</v>
      </c>
    </row>
    <row r="63" spans="1:7" x14ac:dyDescent="0.25">
      <c r="A63" t="s">
        <v>11</v>
      </c>
      <c r="B63" t="str">
        <f>Manifest[[#This Row],[newID]]</f>
        <v>Ros_Lun_4_09</v>
      </c>
      <c r="C63" t="s">
        <v>4</v>
      </c>
      <c r="D63" t="s">
        <v>59</v>
      </c>
      <c r="E63">
        <v>4</v>
      </c>
      <c r="F63">
        <f>IF(Manifest[[#This Row],[Segment]]=E62,F62+1,1)</f>
        <v>9</v>
      </c>
      <c r="G63" t="str">
        <f>"Ros_"&amp;Manifest[[#This Row],[Day]]&amp;"_"&amp;Manifest[[#This Row],[Segment]]&amp;"_"&amp;TEXT(Manifest[[#This Row],[Seq]],"00")</f>
        <v>Ros_Lun_4_09</v>
      </c>
    </row>
    <row r="64" spans="1:7" x14ac:dyDescent="0.25">
      <c r="A64" t="s">
        <v>11</v>
      </c>
      <c r="B64" t="str">
        <f>Manifest[[#This Row],[newID]]</f>
        <v>Ros_Lun_4_10</v>
      </c>
      <c r="C64" t="s">
        <v>4</v>
      </c>
      <c r="D64" t="s">
        <v>59</v>
      </c>
      <c r="E64">
        <v>4</v>
      </c>
      <c r="F64">
        <f>IF(Manifest[[#This Row],[Segment]]=E63,F63+1,1)</f>
        <v>10</v>
      </c>
      <c r="G64" t="str">
        <f>"Ros_"&amp;Manifest[[#This Row],[Day]]&amp;"_"&amp;Manifest[[#This Row],[Segment]]&amp;"_"&amp;TEXT(Manifest[[#This Row],[Seq]],"00")</f>
        <v>Ros_Lun_4_10</v>
      </c>
    </row>
    <row r="65" spans="1:7" x14ac:dyDescent="0.25">
      <c r="A65" t="s">
        <v>11</v>
      </c>
      <c r="B65" t="str">
        <f>Manifest[[#This Row],[newID]]</f>
        <v>Ros_Lun_4_11</v>
      </c>
      <c r="C65" t="s">
        <v>4</v>
      </c>
      <c r="D65" t="s">
        <v>59</v>
      </c>
      <c r="E65">
        <v>4</v>
      </c>
      <c r="F65">
        <f>IF(Manifest[[#This Row],[Segment]]=E64,F64+1,1)</f>
        <v>11</v>
      </c>
      <c r="G65" t="str">
        <f>"Ros_"&amp;Manifest[[#This Row],[Day]]&amp;"_"&amp;Manifest[[#This Row],[Segment]]&amp;"_"&amp;TEXT(Manifest[[#This Row],[Seq]],"00")</f>
        <v>Ros_Lun_4_11</v>
      </c>
    </row>
    <row r="66" spans="1:7" x14ac:dyDescent="0.25">
      <c r="A66" t="s">
        <v>11</v>
      </c>
      <c r="B66" t="str">
        <f>Manifest[[#This Row],[newID]]</f>
        <v>Ros_Lun_4_12</v>
      </c>
      <c r="C66" t="s">
        <v>4</v>
      </c>
      <c r="D66" t="s">
        <v>59</v>
      </c>
      <c r="E66">
        <v>4</v>
      </c>
      <c r="F66">
        <f>IF(Manifest[[#This Row],[Segment]]=E65,F65+1,1)</f>
        <v>12</v>
      </c>
      <c r="G66" t="str">
        <f>"Ros_"&amp;Manifest[[#This Row],[Day]]&amp;"_"&amp;Manifest[[#This Row],[Segment]]&amp;"_"&amp;TEXT(Manifest[[#This Row],[Seq]],"00")</f>
        <v>Ros_Lun_4_12</v>
      </c>
    </row>
    <row r="67" spans="1:7" x14ac:dyDescent="0.25">
      <c r="A67" t="s">
        <v>11</v>
      </c>
      <c r="B67" t="str">
        <f>Manifest[[#This Row],[newID]]</f>
        <v>Ros_Lun_4_13</v>
      </c>
      <c r="C67" t="s">
        <v>4</v>
      </c>
      <c r="D67" t="s">
        <v>59</v>
      </c>
      <c r="E67">
        <v>4</v>
      </c>
      <c r="F67">
        <f>IF(Manifest[[#This Row],[Segment]]=E66,F66+1,1)</f>
        <v>13</v>
      </c>
      <c r="G67" t="str">
        <f>"Ros_"&amp;Manifest[[#This Row],[Day]]&amp;"_"&amp;Manifest[[#This Row],[Segment]]&amp;"_"&amp;TEXT(Manifest[[#This Row],[Seq]],"00")</f>
        <v>Ros_Lun_4_13</v>
      </c>
    </row>
    <row r="68" spans="1:7" x14ac:dyDescent="0.25">
      <c r="A68" t="s">
        <v>12</v>
      </c>
      <c r="B68" t="str">
        <f>Manifest[[#This Row],[newID]]</f>
        <v>Ros_Lun_4_14</v>
      </c>
      <c r="C68" t="s">
        <v>4</v>
      </c>
      <c r="D68" t="s">
        <v>59</v>
      </c>
      <c r="E68">
        <v>4</v>
      </c>
      <c r="F68">
        <f>IF(Manifest[[#This Row],[Segment]]=E67,F67+1,1)</f>
        <v>14</v>
      </c>
      <c r="G68" t="str">
        <f>"Ros_"&amp;Manifest[[#This Row],[Day]]&amp;"_"&amp;Manifest[[#This Row],[Segment]]&amp;"_"&amp;TEXT(Manifest[[#This Row],[Seq]],"00")</f>
        <v>Ros_Lun_4_14</v>
      </c>
    </row>
    <row r="69" spans="1:7" x14ac:dyDescent="0.25">
      <c r="A69" t="s">
        <v>15</v>
      </c>
      <c r="B69" t="str">
        <f>Manifest[[#This Row],[newID]]</f>
        <v>Ros_Lun_4_15</v>
      </c>
      <c r="C69" t="s">
        <v>4</v>
      </c>
      <c r="D69" t="s">
        <v>59</v>
      </c>
      <c r="E69">
        <v>4</v>
      </c>
      <c r="F69">
        <f>IF(Manifest[[#This Row],[Segment]]=E68,F68+1,1)</f>
        <v>15</v>
      </c>
      <c r="G69" t="str">
        <f>"Ros_"&amp;Manifest[[#This Row],[Day]]&amp;"_"&amp;Manifest[[#This Row],[Segment]]&amp;"_"&amp;TEXT(Manifest[[#This Row],[Seq]],"00")</f>
        <v>Ros_Lun_4_15</v>
      </c>
    </row>
    <row r="70" spans="1:7" x14ac:dyDescent="0.25">
      <c r="A70" t="s">
        <v>19</v>
      </c>
      <c r="B70" t="str">
        <f>Manifest[[#This Row],[newID]]</f>
        <v>Ros_Lun_5_01</v>
      </c>
      <c r="C70" t="s">
        <v>4</v>
      </c>
      <c r="D70" t="s">
        <v>59</v>
      </c>
      <c r="E70">
        <v>5</v>
      </c>
      <c r="F70">
        <f>IF(Manifest[[#This Row],[Segment]]=E69,F69+1,1)</f>
        <v>1</v>
      </c>
      <c r="G70" t="str">
        <f>"Ros_"&amp;Manifest[[#This Row],[Day]]&amp;"_"&amp;Manifest[[#This Row],[Segment]]&amp;"_"&amp;TEXT(Manifest[[#This Row],[Seq]],"00")</f>
        <v>Ros_Lun_5_01</v>
      </c>
    </row>
    <row r="71" spans="1:7" x14ac:dyDescent="0.25">
      <c r="A71" t="s">
        <v>10</v>
      </c>
      <c r="B71" t="str">
        <f>Manifest[[#This Row],[newID]]</f>
        <v>Ros_Lun_5_02</v>
      </c>
      <c r="C71" t="s">
        <v>4</v>
      </c>
      <c r="D71" t="s">
        <v>59</v>
      </c>
      <c r="E71">
        <v>5</v>
      </c>
      <c r="F71">
        <f>IF(Manifest[[#This Row],[Segment]]=E70,F70+1,1)</f>
        <v>2</v>
      </c>
      <c r="G71" t="str">
        <f>"Ros_"&amp;Manifest[[#This Row],[Day]]&amp;"_"&amp;Manifest[[#This Row],[Segment]]&amp;"_"&amp;TEXT(Manifest[[#This Row],[Seq]],"00")</f>
        <v>Ros_Lun_5_02</v>
      </c>
    </row>
    <row r="72" spans="1:7" x14ac:dyDescent="0.25">
      <c r="A72" t="s">
        <v>11</v>
      </c>
      <c r="B72" t="str">
        <f>Manifest[[#This Row],[newID]]</f>
        <v>Ros_Lun_5_03</v>
      </c>
      <c r="C72" t="s">
        <v>4</v>
      </c>
      <c r="D72" t="s">
        <v>59</v>
      </c>
      <c r="E72">
        <v>5</v>
      </c>
      <c r="F72">
        <f>IF(Manifest[[#This Row],[Segment]]=E71,F71+1,1)</f>
        <v>3</v>
      </c>
      <c r="G72" t="str">
        <f>"Ros_"&amp;Manifest[[#This Row],[Day]]&amp;"_"&amp;Manifest[[#This Row],[Segment]]&amp;"_"&amp;TEXT(Manifest[[#This Row],[Seq]],"00")</f>
        <v>Ros_Lun_5_03</v>
      </c>
    </row>
    <row r="73" spans="1:7" x14ac:dyDescent="0.25">
      <c r="A73" t="s">
        <v>11</v>
      </c>
      <c r="B73" t="str">
        <f>Manifest[[#This Row],[newID]]</f>
        <v>Ros_Lun_5_04</v>
      </c>
      <c r="C73" t="s">
        <v>4</v>
      </c>
      <c r="D73" t="s">
        <v>59</v>
      </c>
      <c r="E73">
        <v>5</v>
      </c>
      <c r="F73">
        <f>IF(Manifest[[#This Row],[Segment]]=E72,F72+1,1)</f>
        <v>4</v>
      </c>
      <c r="G73" t="str">
        <f>"Ros_"&amp;Manifest[[#This Row],[Day]]&amp;"_"&amp;Manifest[[#This Row],[Segment]]&amp;"_"&amp;TEXT(Manifest[[#This Row],[Seq]],"00")</f>
        <v>Ros_Lun_5_04</v>
      </c>
    </row>
    <row r="74" spans="1:7" x14ac:dyDescent="0.25">
      <c r="A74" t="s">
        <v>11</v>
      </c>
      <c r="B74" t="str">
        <f>Manifest[[#This Row],[newID]]</f>
        <v>Ros_Lun_5_05</v>
      </c>
      <c r="C74" t="s">
        <v>4</v>
      </c>
      <c r="D74" t="s">
        <v>59</v>
      </c>
      <c r="E74">
        <v>5</v>
      </c>
      <c r="F74">
        <f>IF(Manifest[[#This Row],[Segment]]=E73,F73+1,1)</f>
        <v>5</v>
      </c>
      <c r="G74" t="str">
        <f>"Ros_"&amp;Manifest[[#This Row],[Day]]&amp;"_"&amp;Manifest[[#This Row],[Segment]]&amp;"_"&amp;TEXT(Manifest[[#This Row],[Seq]],"00")</f>
        <v>Ros_Lun_5_05</v>
      </c>
    </row>
    <row r="75" spans="1:7" x14ac:dyDescent="0.25">
      <c r="A75" t="s">
        <v>11</v>
      </c>
      <c r="B75" t="str">
        <f>Manifest[[#This Row],[newID]]</f>
        <v>Ros_Lun_5_06</v>
      </c>
      <c r="C75" t="s">
        <v>4</v>
      </c>
      <c r="D75" t="s">
        <v>59</v>
      </c>
      <c r="E75">
        <v>5</v>
      </c>
      <c r="F75">
        <f>IF(Manifest[[#This Row],[Segment]]=E74,F74+1,1)</f>
        <v>6</v>
      </c>
      <c r="G75" t="str">
        <f>"Ros_"&amp;Manifest[[#This Row],[Day]]&amp;"_"&amp;Manifest[[#This Row],[Segment]]&amp;"_"&amp;TEXT(Manifest[[#This Row],[Seq]],"00")</f>
        <v>Ros_Lun_5_06</v>
      </c>
    </row>
    <row r="76" spans="1:7" x14ac:dyDescent="0.25">
      <c r="A76" t="s">
        <v>11</v>
      </c>
      <c r="B76" t="str">
        <f>Manifest[[#This Row],[newID]]</f>
        <v>Ros_Lun_5_07</v>
      </c>
      <c r="C76" t="s">
        <v>4</v>
      </c>
      <c r="D76" t="s">
        <v>59</v>
      </c>
      <c r="E76">
        <v>5</v>
      </c>
      <c r="F76">
        <f>IF(Manifest[[#This Row],[Segment]]=E75,F75+1,1)</f>
        <v>7</v>
      </c>
      <c r="G76" t="str">
        <f>"Ros_"&amp;Manifest[[#This Row],[Day]]&amp;"_"&amp;Manifest[[#This Row],[Segment]]&amp;"_"&amp;TEXT(Manifest[[#This Row],[Seq]],"00")</f>
        <v>Ros_Lun_5_07</v>
      </c>
    </row>
    <row r="77" spans="1:7" x14ac:dyDescent="0.25">
      <c r="A77" t="s">
        <v>11</v>
      </c>
      <c r="B77" t="str">
        <f>Manifest[[#This Row],[newID]]</f>
        <v>Ros_Lun_5_08</v>
      </c>
      <c r="C77" t="s">
        <v>4</v>
      </c>
      <c r="D77" t="s">
        <v>59</v>
      </c>
      <c r="E77">
        <v>5</v>
      </c>
      <c r="F77">
        <f>IF(Manifest[[#This Row],[Segment]]=E76,F76+1,1)</f>
        <v>8</v>
      </c>
      <c r="G77" t="str">
        <f>"Ros_"&amp;Manifest[[#This Row],[Day]]&amp;"_"&amp;Manifest[[#This Row],[Segment]]&amp;"_"&amp;TEXT(Manifest[[#This Row],[Seq]],"00")</f>
        <v>Ros_Lun_5_08</v>
      </c>
    </row>
    <row r="78" spans="1:7" x14ac:dyDescent="0.25">
      <c r="A78" t="s">
        <v>11</v>
      </c>
      <c r="B78" t="str">
        <f>Manifest[[#This Row],[newID]]</f>
        <v>Ros_Lun_5_09</v>
      </c>
      <c r="C78" t="s">
        <v>4</v>
      </c>
      <c r="D78" t="s">
        <v>59</v>
      </c>
      <c r="E78">
        <v>5</v>
      </c>
      <c r="F78">
        <f>IF(Manifest[[#This Row],[Segment]]=E77,F77+1,1)</f>
        <v>9</v>
      </c>
      <c r="G78" t="str">
        <f>"Ros_"&amp;Manifest[[#This Row],[Day]]&amp;"_"&amp;Manifest[[#This Row],[Segment]]&amp;"_"&amp;TEXT(Manifest[[#This Row],[Seq]],"00")</f>
        <v>Ros_Lun_5_09</v>
      </c>
    </row>
    <row r="79" spans="1:7" x14ac:dyDescent="0.25">
      <c r="A79" t="s">
        <v>11</v>
      </c>
      <c r="B79" t="str">
        <f>Manifest[[#This Row],[newID]]</f>
        <v>Ros_Lun_5_10</v>
      </c>
      <c r="C79" t="s">
        <v>4</v>
      </c>
      <c r="D79" t="s">
        <v>59</v>
      </c>
      <c r="E79">
        <v>5</v>
      </c>
      <c r="F79">
        <f>IF(Manifest[[#This Row],[Segment]]=E78,F78+1,1)</f>
        <v>10</v>
      </c>
      <c r="G79" t="str">
        <f>"Ros_"&amp;Manifest[[#This Row],[Day]]&amp;"_"&amp;Manifest[[#This Row],[Segment]]&amp;"_"&amp;TEXT(Manifest[[#This Row],[Seq]],"00")</f>
        <v>Ros_Lun_5_10</v>
      </c>
    </row>
    <row r="80" spans="1:7" x14ac:dyDescent="0.25">
      <c r="A80" t="s">
        <v>11</v>
      </c>
      <c r="B80" t="str">
        <f>Manifest[[#This Row],[newID]]</f>
        <v>Ros_Lun_5_11</v>
      </c>
      <c r="C80" t="s">
        <v>4</v>
      </c>
      <c r="D80" t="s">
        <v>59</v>
      </c>
      <c r="E80">
        <v>5</v>
      </c>
      <c r="F80">
        <f>IF(Manifest[[#This Row],[Segment]]=E79,F79+1,1)</f>
        <v>11</v>
      </c>
      <c r="G80" t="str">
        <f>"Ros_"&amp;Manifest[[#This Row],[Day]]&amp;"_"&amp;Manifest[[#This Row],[Segment]]&amp;"_"&amp;TEXT(Manifest[[#This Row],[Seq]],"00")</f>
        <v>Ros_Lun_5_11</v>
      </c>
    </row>
    <row r="81" spans="1:7" x14ac:dyDescent="0.25">
      <c r="A81" t="s">
        <v>11</v>
      </c>
      <c r="B81" t="str">
        <f>Manifest[[#This Row],[newID]]</f>
        <v>Ros_Lun_5_12</v>
      </c>
      <c r="C81" t="s">
        <v>4</v>
      </c>
      <c r="D81" t="s">
        <v>59</v>
      </c>
      <c r="E81">
        <v>5</v>
      </c>
      <c r="F81">
        <f>IF(Manifest[[#This Row],[Segment]]=E80,F80+1,1)</f>
        <v>12</v>
      </c>
      <c r="G81" t="str">
        <f>"Ros_"&amp;Manifest[[#This Row],[Day]]&amp;"_"&amp;Manifest[[#This Row],[Segment]]&amp;"_"&amp;TEXT(Manifest[[#This Row],[Seq]],"00")</f>
        <v>Ros_Lun_5_12</v>
      </c>
    </row>
    <row r="82" spans="1:7" x14ac:dyDescent="0.25">
      <c r="A82" t="s">
        <v>12</v>
      </c>
      <c r="B82" t="str">
        <f>Manifest[[#This Row],[newID]]</f>
        <v>Ros_Lun_5_13</v>
      </c>
      <c r="C82" t="s">
        <v>4</v>
      </c>
      <c r="D82" t="s">
        <v>59</v>
      </c>
      <c r="E82">
        <v>5</v>
      </c>
      <c r="F82">
        <f>IF(Manifest[[#This Row],[Segment]]=E81,F81+1,1)</f>
        <v>13</v>
      </c>
      <c r="G82" t="str">
        <f>"Ros_"&amp;Manifest[[#This Row],[Day]]&amp;"_"&amp;Manifest[[#This Row],[Segment]]&amp;"_"&amp;TEXT(Manifest[[#This Row],[Seq]],"00")</f>
        <v>Ros_Lun_5_13</v>
      </c>
    </row>
    <row r="83" spans="1:7" x14ac:dyDescent="0.25">
      <c r="A83" t="s">
        <v>15</v>
      </c>
      <c r="B83" t="str">
        <f>Manifest[[#This Row],[newID]]</f>
        <v>Ros_Lun_5_14</v>
      </c>
      <c r="C83" t="s">
        <v>4</v>
      </c>
      <c r="D83" t="s">
        <v>59</v>
      </c>
      <c r="E83">
        <v>5</v>
      </c>
      <c r="F83">
        <f>IF(Manifest[[#This Row],[Segment]]=E82,F82+1,1)</f>
        <v>14</v>
      </c>
      <c r="G83" t="str">
        <f>"Ros_"&amp;Manifest[[#This Row],[Day]]&amp;"_"&amp;Manifest[[#This Row],[Segment]]&amp;"_"&amp;TEXT(Manifest[[#This Row],[Seq]],"00")</f>
        <v>Ros_Lun_5_14</v>
      </c>
    </row>
    <row r="84" spans="1:7" x14ac:dyDescent="0.25">
      <c r="A84" t="s">
        <v>20</v>
      </c>
      <c r="B84" t="str">
        <f>Manifest[[#This Row],[newID]]</f>
        <v>Ros_Lun_6_01</v>
      </c>
      <c r="C84" t="s">
        <v>4</v>
      </c>
      <c r="D84" t="s">
        <v>59</v>
      </c>
      <c r="E84">
        <v>6</v>
      </c>
      <c r="F84">
        <f>IF(Manifest[[#This Row],[Segment]]=E83,F83+1,1)</f>
        <v>1</v>
      </c>
      <c r="G84" t="str">
        <f>"Ros_"&amp;Manifest[[#This Row],[Day]]&amp;"_"&amp;Manifest[[#This Row],[Segment]]&amp;"_"&amp;TEXT(Manifest[[#This Row],[Seq]],"00")</f>
        <v>Ros_Lun_6_01</v>
      </c>
    </row>
    <row r="85" spans="1:7" x14ac:dyDescent="0.25">
      <c r="A85" t="s">
        <v>21</v>
      </c>
      <c r="B85" t="str">
        <f>Manifest[[#This Row],[newID]]</f>
        <v>Ros_Lun_6_02</v>
      </c>
      <c r="C85" t="s">
        <v>4</v>
      </c>
      <c r="D85" t="s">
        <v>59</v>
      </c>
      <c r="E85">
        <v>6</v>
      </c>
      <c r="F85">
        <f>IF(Manifest[[#This Row],[Segment]]=E84,F84+1,1)</f>
        <v>2</v>
      </c>
      <c r="G85" t="str">
        <f>"Ros_"&amp;Manifest[[#This Row],[Day]]&amp;"_"&amp;Manifest[[#This Row],[Segment]]&amp;"_"&amp;TEXT(Manifest[[#This Row],[Seq]],"00")</f>
        <v>Ros_Lun_6_02</v>
      </c>
    </row>
    <row r="86" spans="1:7" x14ac:dyDescent="0.25">
      <c r="A86" t="s">
        <v>23</v>
      </c>
      <c r="B86" t="str">
        <f>Manifest[[#This Row],[newID]]</f>
        <v>Ros_Lun_6_03</v>
      </c>
      <c r="C86" t="s">
        <v>4</v>
      </c>
      <c r="D86" t="s">
        <v>59</v>
      </c>
      <c r="E86">
        <v>6</v>
      </c>
      <c r="F86">
        <f>IF(Manifest[[#This Row],[Segment]]=E85,F85+1,1)</f>
        <v>3</v>
      </c>
      <c r="G86" t="str">
        <f>"Ros_"&amp;Manifest[[#This Row],[Day]]&amp;"_"&amp;Manifest[[#This Row],[Segment]]&amp;"_"&amp;TEXT(Manifest[[#This Row],[Seq]],"00")</f>
        <v>Ros_Lun_6_03</v>
      </c>
    </row>
    <row r="87" spans="1:7" x14ac:dyDescent="0.25">
      <c r="A87" t="s">
        <v>31</v>
      </c>
      <c r="B87" t="str">
        <f>Manifest[[#This Row],[newID]]</f>
        <v>Ros_Lun_6_04</v>
      </c>
      <c r="C87" t="s">
        <v>4</v>
      </c>
      <c r="D87" t="s">
        <v>59</v>
      </c>
      <c r="E87">
        <v>6</v>
      </c>
      <c r="F87">
        <f>IF(Manifest[[#This Row],[Segment]]=E86,F86+1,1)</f>
        <v>4</v>
      </c>
      <c r="G87" t="str">
        <f>"Ros_"&amp;Manifest[[#This Row],[Day]]&amp;"_"&amp;Manifest[[#This Row],[Segment]]&amp;"_"&amp;TEXT(Manifest[[#This Row],[Seq]],"00")</f>
        <v>Ros_Lun_6_04</v>
      </c>
    </row>
    <row r="88" spans="1:7" x14ac:dyDescent="0.25">
      <c r="A88" t="s">
        <v>32</v>
      </c>
      <c r="B88" t="str">
        <f>Manifest[[#This Row],[newID]]</f>
        <v>Ros_Mar_0_01</v>
      </c>
      <c r="C88" t="s">
        <v>4</v>
      </c>
      <c r="D88" t="s">
        <v>61</v>
      </c>
      <c r="E88">
        <v>0</v>
      </c>
      <c r="F88">
        <f>IF(Manifest[[#This Row],[Segment]]=E87,F87+1,1)</f>
        <v>1</v>
      </c>
      <c r="G88" t="str">
        <f>"Ros_"&amp;Manifest[[#This Row],[Day]]&amp;"_"&amp;Manifest[[#This Row],[Segment]]&amp;"_"&amp;TEXT(Manifest[[#This Row],[Seq]],"00")</f>
        <v>Ros_Mar_0_01</v>
      </c>
    </row>
    <row r="89" spans="1:7" x14ac:dyDescent="0.25">
      <c r="A89" t="s">
        <v>7</v>
      </c>
      <c r="B89" t="str">
        <f>Manifest[[#This Row],[newID]]</f>
        <v>Ros_Mar_0_02</v>
      </c>
      <c r="C89" t="s">
        <v>4</v>
      </c>
      <c r="D89" t="s">
        <v>61</v>
      </c>
      <c r="E89">
        <v>0</v>
      </c>
      <c r="F89">
        <f>IF(Manifest[[#This Row],[Segment]]=E88,F88+1,1)</f>
        <v>2</v>
      </c>
      <c r="G89" t="str">
        <f>"Ros_"&amp;Manifest[[#This Row],[Day]]&amp;"_"&amp;Manifest[[#This Row],[Segment]]&amp;"_"&amp;TEXT(Manifest[[#This Row],[Seq]],"00")</f>
        <v>Ros_Mar_0_02</v>
      </c>
    </row>
    <row r="90" spans="1:7" x14ac:dyDescent="0.25">
      <c r="A90" t="s">
        <v>8</v>
      </c>
      <c r="B90" t="str">
        <f>Manifest[[#This Row],[newID]]</f>
        <v>Ros_Mar_0_03</v>
      </c>
      <c r="C90" t="s">
        <v>4</v>
      </c>
      <c r="D90" t="s">
        <v>61</v>
      </c>
      <c r="E90">
        <v>0</v>
      </c>
      <c r="F90">
        <f>IF(Manifest[[#This Row],[Segment]]=E89,F89+1,1)</f>
        <v>3</v>
      </c>
      <c r="G90" t="str">
        <f>"Ros_"&amp;Manifest[[#This Row],[Day]]&amp;"_"&amp;Manifest[[#This Row],[Segment]]&amp;"_"&amp;TEXT(Manifest[[#This Row],[Seq]],"00")</f>
        <v>Ros_Mar_0_03</v>
      </c>
    </row>
    <row r="91" spans="1:7" x14ac:dyDescent="0.25">
      <c r="A91" t="s">
        <v>9</v>
      </c>
      <c r="B91" t="str">
        <f>Manifest[[#This Row],[newID]]</f>
        <v>Ros_Mar_0_04</v>
      </c>
      <c r="C91" t="s">
        <v>4</v>
      </c>
      <c r="D91" t="s">
        <v>61</v>
      </c>
      <c r="E91">
        <v>0</v>
      </c>
      <c r="F91">
        <f>IF(Manifest[[#This Row],[Segment]]=E90,F90+1,1)</f>
        <v>4</v>
      </c>
      <c r="G91" t="str">
        <f>"Ros_"&amp;Manifest[[#This Row],[Day]]&amp;"_"&amp;Manifest[[#This Row],[Segment]]&amp;"_"&amp;TEXT(Manifest[[#This Row],[Seq]],"00")</f>
        <v>Ros_Mar_0_04</v>
      </c>
    </row>
    <row r="92" spans="1:7" x14ac:dyDescent="0.25">
      <c r="A92" t="s">
        <v>10</v>
      </c>
      <c r="B92" t="str">
        <f>Manifest[[#This Row],[newID]]</f>
        <v>Ros_Mar_0_05</v>
      </c>
      <c r="C92" t="s">
        <v>4</v>
      </c>
      <c r="D92" t="s">
        <v>61</v>
      </c>
      <c r="E92">
        <v>0</v>
      </c>
      <c r="F92">
        <f>IF(Manifest[[#This Row],[Segment]]=E91,F91+1,1)</f>
        <v>5</v>
      </c>
      <c r="G92" t="str">
        <f>"Ros_"&amp;Manifest[[#This Row],[Day]]&amp;"_"&amp;Manifest[[#This Row],[Segment]]&amp;"_"&amp;TEXT(Manifest[[#This Row],[Seq]],"00")</f>
        <v>Ros_Mar_0_05</v>
      </c>
    </row>
    <row r="93" spans="1:7" x14ac:dyDescent="0.25">
      <c r="A93" t="s">
        <v>11</v>
      </c>
      <c r="B93" t="str">
        <f>Manifest[[#This Row],[newID]]</f>
        <v>Ros_Mar_0_06</v>
      </c>
      <c r="C93" t="s">
        <v>4</v>
      </c>
      <c r="D93" t="s">
        <v>61</v>
      </c>
      <c r="E93">
        <v>0</v>
      </c>
      <c r="F93">
        <f>IF(Manifest[[#This Row],[Segment]]=E92,F92+1,1)</f>
        <v>6</v>
      </c>
      <c r="G93" t="str">
        <f>"Ros_"&amp;Manifest[[#This Row],[Day]]&amp;"_"&amp;Manifest[[#This Row],[Segment]]&amp;"_"&amp;TEXT(Manifest[[#This Row],[Seq]],"00")</f>
        <v>Ros_Mar_0_06</v>
      </c>
    </row>
    <row r="94" spans="1:7" x14ac:dyDescent="0.25">
      <c r="A94" t="s">
        <v>11</v>
      </c>
      <c r="B94" t="str">
        <f>Manifest[[#This Row],[newID]]</f>
        <v>Ros_Mar_0_07</v>
      </c>
      <c r="C94" t="s">
        <v>4</v>
      </c>
      <c r="D94" t="s">
        <v>61</v>
      </c>
      <c r="E94">
        <v>0</v>
      </c>
      <c r="F94">
        <f>IF(Manifest[[#This Row],[Segment]]=E93,F93+1,1)</f>
        <v>7</v>
      </c>
      <c r="G94" t="str">
        <f>"Ros_"&amp;Manifest[[#This Row],[Day]]&amp;"_"&amp;Manifest[[#This Row],[Segment]]&amp;"_"&amp;TEXT(Manifest[[#This Row],[Seq]],"00")</f>
        <v>Ros_Mar_0_07</v>
      </c>
    </row>
    <row r="95" spans="1:7" x14ac:dyDescent="0.25">
      <c r="A95" t="s">
        <v>11</v>
      </c>
      <c r="B95" t="str">
        <f>Manifest[[#This Row],[newID]]</f>
        <v>Ros_Mar_0_08</v>
      </c>
      <c r="C95" t="s">
        <v>4</v>
      </c>
      <c r="D95" t="s">
        <v>61</v>
      </c>
      <c r="E95">
        <v>0</v>
      </c>
      <c r="F95">
        <f>IF(Manifest[[#This Row],[Segment]]=E94,F94+1,1)</f>
        <v>8</v>
      </c>
      <c r="G95" t="str">
        <f>"Ros_"&amp;Manifest[[#This Row],[Day]]&amp;"_"&amp;Manifest[[#This Row],[Segment]]&amp;"_"&amp;TEXT(Manifest[[#This Row],[Seq]],"00")</f>
        <v>Ros_Mar_0_08</v>
      </c>
    </row>
    <row r="96" spans="1:7" x14ac:dyDescent="0.25">
      <c r="A96" t="s">
        <v>12</v>
      </c>
      <c r="B96" t="str">
        <f>Manifest[[#This Row],[newID]]</f>
        <v>Ros_Mar_0_09</v>
      </c>
      <c r="C96" t="s">
        <v>4</v>
      </c>
      <c r="D96" t="s">
        <v>61</v>
      </c>
      <c r="E96">
        <v>0</v>
      </c>
      <c r="F96">
        <f>IF(Manifest[[#This Row],[Segment]]=E95,F95+1,1)</f>
        <v>9</v>
      </c>
      <c r="G96" t="str">
        <f>"Ros_"&amp;Manifest[[#This Row],[Day]]&amp;"_"&amp;Manifest[[#This Row],[Segment]]&amp;"_"&amp;TEXT(Manifest[[#This Row],[Seq]],"00")</f>
        <v>Ros_Mar_0_09</v>
      </c>
    </row>
    <row r="97" spans="1:7" x14ac:dyDescent="0.25">
      <c r="A97" t="s">
        <v>13</v>
      </c>
      <c r="B97" t="str">
        <f>Manifest[[#This Row],[newID]]</f>
        <v>Ros_Mar_0_10</v>
      </c>
      <c r="C97" t="s">
        <v>4</v>
      </c>
      <c r="D97" t="s">
        <v>61</v>
      </c>
      <c r="E97">
        <v>0</v>
      </c>
      <c r="F97">
        <f>IF(Manifest[[#This Row],[Segment]]=E96,F96+1,1)</f>
        <v>10</v>
      </c>
      <c r="G97" t="str">
        <f>"Ros_"&amp;Manifest[[#This Row],[Day]]&amp;"_"&amp;Manifest[[#This Row],[Segment]]&amp;"_"&amp;TEXT(Manifest[[#This Row],[Seq]],"00")</f>
        <v>Ros_Mar_0_10</v>
      </c>
    </row>
    <row r="98" spans="1:7" x14ac:dyDescent="0.25">
      <c r="A98" t="s">
        <v>33</v>
      </c>
      <c r="B98" t="str">
        <f>Manifest[[#This Row],[newID]]</f>
        <v>Ros_Mar_1_01</v>
      </c>
      <c r="C98" t="s">
        <v>4</v>
      </c>
      <c r="D98" t="s">
        <v>61</v>
      </c>
      <c r="E98">
        <v>1</v>
      </c>
      <c r="F98">
        <f>IF(Manifest[[#This Row],[Segment]]=E97,F97+1,1)</f>
        <v>1</v>
      </c>
      <c r="G98" t="str">
        <f>"Ros_"&amp;Manifest[[#This Row],[Day]]&amp;"_"&amp;Manifest[[#This Row],[Segment]]&amp;"_"&amp;TEXT(Manifest[[#This Row],[Seq]],"00")</f>
        <v>Ros_Mar_1_01</v>
      </c>
    </row>
    <row r="99" spans="1:7" x14ac:dyDescent="0.25">
      <c r="A99" t="s">
        <v>10</v>
      </c>
      <c r="B99" t="str">
        <f>Manifest[[#This Row],[newID]]</f>
        <v>Ros_Mar_1_02</v>
      </c>
      <c r="C99" t="s">
        <v>4</v>
      </c>
      <c r="D99" t="s">
        <v>61</v>
      </c>
      <c r="E99">
        <v>1</v>
      </c>
      <c r="F99">
        <f>IF(Manifest[[#This Row],[Segment]]=E98,F98+1,1)</f>
        <v>2</v>
      </c>
      <c r="G99" t="str">
        <f>"Ros_"&amp;Manifest[[#This Row],[Day]]&amp;"_"&amp;Manifest[[#This Row],[Segment]]&amp;"_"&amp;TEXT(Manifest[[#This Row],[Seq]],"00")</f>
        <v>Ros_Mar_1_02</v>
      </c>
    </row>
    <row r="100" spans="1:7" x14ac:dyDescent="0.25">
      <c r="A100" t="s">
        <v>11</v>
      </c>
      <c r="B100" t="str">
        <f>Manifest[[#This Row],[newID]]</f>
        <v>Ros_Mar_1_03</v>
      </c>
      <c r="C100" t="s">
        <v>4</v>
      </c>
      <c r="D100" t="s">
        <v>61</v>
      </c>
      <c r="E100">
        <v>1</v>
      </c>
      <c r="F100">
        <f>IF(Manifest[[#This Row],[Segment]]=E99,F99+1,1)</f>
        <v>3</v>
      </c>
      <c r="G100" t="str">
        <f>"Ros_"&amp;Manifest[[#This Row],[Day]]&amp;"_"&amp;Manifest[[#This Row],[Segment]]&amp;"_"&amp;TEXT(Manifest[[#This Row],[Seq]],"00")</f>
        <v>Ros_Mar_1_03</v>
      </c>
    </row>
    <row r="101" spans="1:7" x14ac:dyDescent="0.25">
      <c r="A101" t="s">
        <v>11</v>
      </c>
      <c r="B101" t="str">
        <f>Manifest[[#This Row],[newID]]</f>
        <v>Ros_Mar_1_04</v>
      </c>
      <c r="C101" t="s">
        <v>4</v>
      </c>
      <c r="D101" t="s">
        <v>61</v>
      </c>
      <c r="E101">
        <v>1</v>
      </c>
      <c r="F101">
        <f>IF(Manifest[[#This Row],[Segment]]=E100,F100+1,1)</f>
        <v>4</v>
      </c>
      <c r="G101" t="str">
        <f>"Ros_"&amp;Manifest[[#This Row],[Day]]&amp;"_"&amp;Manifest[[#This Row],[Segment]]&amp;"_"&amp;TEXT(Manifest[[#This Row],[Seq]],"00")</f>
        <v>Ros_Mar_1_04</v>
      </c>
    </row>
    <row r="102" spans="1:7" x14ac:dyDescent="0.25">
      <c r="A102" t="s">
        <v>11</v>
      </c>
      <c r="B102" t="str">
        <f>Manifest[[#This Row],[newID]]</f>
        <v>Ros_Mar_1_05</v>
      </c>
      <c r="C102" t="s">
        <v>4</v>
      </c>
      <c r="D102" t="s">
        <v>61</v>
      </c>
      <c r="E102">
        <v>1</v>
      </c>
      <c r="F102">
        <f>IF(Manifest[[#This Row],[Segment]]=E101,F101+1,1)</f>
        <v>5</v>
      </c>
      <c r="G102" t="str">
        <f>"Ros_"&amp;Manifest[[#This Row],[Day]]&amp;"_"&amp;Manifest[[#This Row],[Segment]]&amp;"_"&amp;TEXT(Manifest[[#This Row],[Seq]],"00")</f>
        <v>Ros_Mar_1_05</v>
      </c>
    </row>
    <row r="103" spans="1:7" x14ac:dyDescent="0.25">
      <c r="A103" t="s">
        <v>11</v>
      </c>
      <c r="B103" t="str">
        <f>Manifest[[#This Row],[newID]]</f>
        <v>Ros_Mar_1_06</v>
      </c>
      <c r="C103" t="s">
        <v>4</v>
      </c>
      <c r="D103" t="s">
        <v>61</v>
      </c>
      <c r="E103">
        <v>1</v>
      </c>
      <c r="F103">
        <f>IF(Manifest[[#This Row],[Segment]]=E102,F102+1,1)</f>
        <v>6</v>
      </c>
      <c r="G103" t="str">
        <f>"Ros_"&amp;Manifest[[#This Row],[Day]]&amp;"_"&amp;Manifest[[#This Row],[Segment]]&amp;"_"&amp;TEXT(Manifest[[#This Row],[Seq]],"00")</f>
        <v>Ros_Mar_1_06</v>
      </c>
    </row>
    <row r="104" spans="1:7" x14ac:dyDescent="0.25">
      <c r="A104" t="s">
        <v>11</v>
      </c>
      <c r="B104" t="str">
        <f>Manifest[[#This Row],[newID]]</f>
        <v>Ros_Mar_1_07</v>
      </c>
      <c r="C104" t="s">
        <v>4</v>
      </c>
      <c r="D104" t="s">
        <v>61</v>
      </c>
      <c r="E104">
        <v>1</v>
      </c>
      <c r="F104">
        <f>IF(Manifest[[#This Row],[Segment]]=E103,F103+1,1)</f>
        <v>7</v>
      </c>
      <c r="G104" t="str">
        <f>"Ros_"&amp;Manifest[[#This Row],[Day]]&amp;"_"&amp;Manifest[[#This Row],[Segment]]&amp;"_"&amp;TEXT(Manifest[[#This Row],[Seq]],"00")</f>
        <v>Ros_Mar_1_07</v>
      </c>
    </row>
    <row r="105" spans="1:7" x14ac:dyDescent="0.25">
      <c r="A105" t="s">
        <v>11</v>
      </c>
      <c r="B105" t="str">
        <f>Manifest[[#This Row],[newID]]</f>
        <v>Ros_Mar_1_08</v>
      </c>
      <c r="C105" t="s">
        <v>4</v>
      </c>
      <c r="D105" t="s">
        <v>61</v>
      </c>
      <c r="E105">
        <v>1</v>
      </c>
      <c r="F105">
        <f>IF(Manifest[[#This Row],[Segment]]=E104,F104+1,1)</f>
        <v>8</v>
      </c>
      <c r="G105" t="str">
        <f>"Ros_"&amp;Manifest[[#This Row],[Day]]&amp;"_"&amp;Manifest[[#This Row],[Segment]]&amp;"_"&amp;TEXT(Manifest[[#This Row],[Seq]],"00")</f>
        <v>Ros_Mar_1_08</v>
      </c>
    </row>
    <row r="106" spans="1:7" x14ac:dyDescent="0.25">
      <c r="A106" t="s">
        <v>11</v>
      </c>
      <c r="B106" t="str">
        <f>Manifest[[#This Row],[newID]]</f>
        <v>Ros_Mar_1_09</v>
      </c>
      <c r="C106" t="s">
        <v>4</v>
      </c>
      <c r="D106" t="s">
        <v>61</v>
      </c>
      <c r="E106">
        <v>1</v>
      </c>
      <c r="F106">
        <f>IF(Manifest[[#This Row],[Segment]]=E105,F105+1,1)</f>
        <v>9</v>
      </c>
      <c r="G106" t="str">
        <f>"Ros_"&amp;Manifest[[#This Row],[Day]]&amp;"_"&amp;Manifest[[#This Row],[Segment]]&amp;"_"&amp;TEXT(Manifest[[#This Row],[Seq]],"00")</f>
        <v>Ros_Mar_1_09</v>
      </c>
    </row>
    <row r="107" spans="1:7" x14ac:dyDescent="0.25">
      <c r="A107" t="s">
        <v>11</v>
      </c>
      <c r="B107" t="str">
        <f>Manifest[[#This Row],[newID]]</f>
        <v>Ros_Mar_1_10</v>
      </c>
      <c r="C107" t="s">
        <v>4</v>
      </c>
      <c r="D107" t="s">
        <v>61</v>
      </c>
      <c r="E107">
        <v>1</v>
      </c>
      <c r="F107">
        <f>IF(Manifest[[#This Row],[Segment]]=E106,F106+1,1)</f>
        <v>10</v>
      </c>
      <c r="G107" t="str">
        <f>"Ros_"&amp;Manifest[[#This Row],[Day]]&amp;"_"&amp;Manifest[[#This Row],[Segment]]&amp;"_"&amp;TEXT(Manifest[[#This Row],[Seq]],"00")</f>
        <v>Ros_Mar_1_10</v>
      </c>
    </row>
    <row r="108" spans="1:7" x14ac:dyDescent="0.25">
      <c r="A108" t="s">
        <v>11</v>
      </c>
      <c r="B108" t="str">
        <f>Manifest[[#This Row],[newID]]</f>
        <v>Ros_Mar_1_11</v>
      </c>
      <c r="C108" t="s">
        <v>4</v>
      </c>
      <c r="D108" t="s">
        <v>61</v>
      </c>
      <c r="E108">
        <v>1</v>
      </c>
      <c r="F108">
        <f>IF(Manifest[[#This Row],[Segment]]=E107,F107+1,1)</f>
        <v>11</v>
      </c>
      <c r="G108" t="str">
        <f>"Ros_"&amp;Manifest[[#This Row],[Day]]&amp;"_"&amp;Manifest[[#This Row],[Segment]]&amp;"_"&amp;TEXT(Manifest[[#This Row],[Seq]],"00")</f>
        <v>Ros_Mar_1_11</v>
      </c>
    </row>
    <row r="109" spans="1:7" x14ac:dyDescent="0.25">
      <c r="A109" t="s">
        <v>11</v>
      </c>
      <c r="B109" t="str">
        <f>Manifest[[#This Row],[newID]]</f>
        <v>Ros_Mar_1_12</v>
      </c>
      <c r="C109" t="s">
        <v>4</v>
      </c>
      <c r="D109" t="s">
        <v>61</v>
      </c>
      <c r="E109">
        <v>1</v>
      </c>
      <c r="F109">
        <f>IF(Manifest[[#This Row],[Segment]]=E108,F108+1,1)</f>
        <v>12</v>
      </c>
      <c r="G109" t="str">
        <f>"Ros_"&amp;Manifest[[#This Row],[Day]]&amp;"_"&amp;Manifest[[#This Row],[Segment]]&amp;"_"&amp;TEXT(Manifest[[#This Row],[Seq]],"00")</f>
        <v>Ros_Mar_1_12</v>
      </c>
    </row>
    <row r="110" spans="1:7" x14ac:dyDescent="0.25">
      <c r="A110" t="s">
        <v>12</v>
      </c>
      <c r="B110" t="str">
        <f>Manifest[[#This Row],[newID]]</f>
        <v>Ros_Mar_1_13</v>
      </c>
      <c r="C110" t="s">
        <v>4</v>
      </c>
      <c r="D110" t="s">
        <v>61</v>
      </c>
      <c r="E110">
        <v>1</v>
      </c>
      <c r="F110">
        <f>IF(Manifest[[#This Row],[Segment]]=E109,F109+1,1)</f>
        <v>13</v>
      </c>
      <c r="G110" t="str">
        <f>"Ros_"&amp;Manifest[[#This Row],[Day]]&amp;"_"&amp;Manifest[[#This Row],[Segment]]&amp;"_"&amp;TEXT(Manifest[[#This Row],[Seq]],"00")</f>
        <v>Ros_Mar_1_13</v>
      </c>
    </row>
    <row r="111" spans="1:7" x14ac:dyDescent="0.25">
      <c r="A111" t="s">
        <v>15</v>
      </c>
      <c r="B111" t="str">
        <f>Manifest[[#This Row],[newID]]</f>
        <v>Ros_Mar_1_14</v>
      </c>
      <c r="C111" t="s">
        <v>4</v>
      </c>
      <c r="D111" t="s">
        <v>61</v>
      </c>
      <c r="E111">
        <v>1</v>
      </c>
      <c r="F111">
        <f>IF(Manifest[[#This Row],[Segment]]=E110,F110+1,1)</f>
        <v>14</v>
      </c>
      <c r="G111" t="str">
        <f>"Ros_"&amp;Manifest[[#This Row],[Day]]&amp;"_"&amp;Manifest[[#This Row],[Segment]]&amp;"_"&amp;TEXT(Manifest[[#This Row],[Seq]],"00")</f>
        <v>Ros_Mar_1_14</v>
      </c>
    </row>
    <row r="112" spans="1:7" x14ac:dyDescent="0.25">
      <c r="A112" t="s">
        <v>34</v>
      </c>
      <c r="B112" t="str">
        <f>Manifest[[#This Row],[newID]]</f>
        <v>Ros_Mar_2_01</v>
      </c>
      <c r="C112" t="s">
        <v>4</v>
      </c>
      <c r="D112" t="s">
        <v>61</v>
      </c>
      <c r="E112">
        <v>2</v>
      </c>
      <c r="F112">
        <f>IF(Manifest[[#This Row],[Segment]]=E111,F111+1,1)</f>
        <v>1</v>
      </c>
      <c r="G112" t="str">
        <f>"Ros_"&amp;Manifest[[#This Row],[Day]]&amp;"_"&amp;Manifest[[#This Row],[Segment]]&amp;"_"&amp;TEXT(Manifest[[#This Row],[Seq]],"00")</f>
        <v>Ros_Mar_2_01</v>
      </c>
    </row>
    <row r="113" spans="1:7" x14ac:dyDescent="0.25">
      <c r="A113" t="s">
        <v>10</v>
      </c>
      <c r="B113" t="str">
        <f>Manifest[[#This Row],[newID]]</f>
        <v>Ros_Mar_2_02</v>
      </c>
      <c r="C113" t="s">
        <v>4</v>
      </c>
      <c r="D113" t="s">
        <v>61</v>
      </c>
      <c r="E113">
        <v>2</v>
      </c>
      <c r="F113">
        <f>IF(Manifest[[#This Row],[Segment]]=E112,F112+1,1)</f>
        <v>2</v>
      </c>
      <c r="G113" t="str">
        <f>"Ros_"&amp;Manifest[[#This Row],[Day]]&amp;"_"&amp;Manifest[[#This Row],[Segment]]&amp;"_"&amp;TEXT(Manifest[[#This Row],[Seq]],"00")</f>
        <v>Ros_Mar_2_02</v>
      </c>
    </row>
    <row r="114" spans="1:7" x14ac:dyDescent="0.25">
      <c r="A114" t="s">
        <v>11</v>
      </c>
      <c r="B114" t="str">
        <f>Manifest[[#This Row],[newID]]</f>
        <v>Ros_Mar_2_03</v>
      </c>
      <c r="C114" t="s">
        <v>4</v>
      </c>
      <c r="D114" t="s">
        <v>61</v>
      </c>
      <c r="E114">
        <v>2</v>
      </c>
      <c r="F114">
        <f>IF(Manifest[[#This Row],[Segment]]=E113,F113+1,1)</f>
        <v>3</v>
      </c>
      <c r="G114" t="str">
        <f>"Ros_"&amp;Manifest[[#This Row],[Day]]&amp;"_"&amp;Manifest[[#This Row],[Segment]]&amp;"_"&amp;TEXT(Manifest[[#This Row],[Seq]],"00")</f>
        <v>Ros_Mar_2_03</v>
      </c>
    </row>
    <row r="115" spans="1:7" x14ac:dyDescent="0.25">
      <c r="A115" t="s">
        <v>11</v>
      </c>
      <c r="B115" t="str">
        <f>Manifest[[#This Row],[newID]]</f>
        <v>Ros_Mar_2_04</v>
      </c>
      <c r="C115" t="s">
        <v>4</v>
      </c>
      <c r="D115" t="s">
        <v>61</v>
      </c>
      <c r="E115">
        <v>2</v>
      </c>
      <c r="F115">
        <f>IF(Manifest[[#This Row],[Segment]]=E114,F114+1,1)</f>
        <v>4</v>
      </c>
      <c r="G115" t="str">
        <f>"Ros_"&amp;Manifest[[#This Row],[Day]]&amp;"_"&amp;Manifest[[#This Row],[Segment]]&amp;"_"&amp;TEXT(Manifest[[#This Row],[Seq]],"00")</f>
        <v>Ros_Mar_2_04</v>
      </c>
    </row>
    <row r="116" spans="1:7" x14ac:dyDescent="0.25">
      <c r="A116" t="s">
        <v>11</v>
      </c>
      <c r="B116" t="str">
        <f>Manifest[[#This Row],[newID]]</f>
        <v>Ros_Mar_2_05</v>
      </c>
      <c r="C116" t="s">
        <v>4</v>
      </c>
      <c r="D116" t="s">
        <v>61</v>
      </c>
      <c r="E116">
        <v>2</v>
      </c>
      <c r="F116">
        <f>IF(Manifest[[#This Row],[Segment]]=E115,F115+1,1)</f>
        <v>5</v>
      </c>
      <c r="G116" t="str">
        <f>"Ros_"&amp;Manifest[[#This Row],[Day]]&amp;"_"&amp;Manifest[[#This Row],[Segment]]&amp;"_"&amp;TEXT(Manifest[[#This Row],[Seq]],"00")</f>
        <v>Ros_Mar_2_05</v>
      </c>
    </row>
    <row r="117" spans="1:7" x14ac:dyDescent="0.25">
      <c r="A117" t="s">
        <v>11</v>
      </c>
      <c r="B117" t="str">
        <f>Manifest[[#This Row],[newID]]</f>
        <v>Ros_Mar_2_06</v>
      </c>
      <c r="C117" t="s">
        <v>4</v>
      </c>
      <c r="D117" t="s">
        <v>61</v>
      </c>
      <c r="E117">
        <v>2</v>
      </c>
      <c r="F117">
        <f>IF(Manifest[[#This Row],[Segment]]=E116,F116+1,1)</f>
        <v>6</v>
      </c>
      <c r="G117" t="str">
        <f>"Ros_"&amp;Manifest[[#This Row],[Day]]&amp;"_"&amp;Manifest[[#This Row],[Segment]]&amp;"_"&amp;TEXT(Manifest[[#This Row],[Seq]],"00")</f>
        <v>Ros_Mar_2_06</v>
      </c>
    </row>
    <row r="118" spans="1:7" x14ac:dyDescent="0.25">
      <c r="A118" t="s">
        <v>11</v>
      </c>
      <c r="B118" t="str">
        <f>Manifest[[#This Row],[newID]]</f>
        <v>Ros_Mar_2_07</v>
      </c>
      <c r="C118" t="s">
        <v>4</v>
      </c>
      <c r="D118" t="s">
        <v>61</v>
      </c>
      <c r="E118">
        <v>2</v>
      </c>
      <c r="F118">
        <f>IF(Manifest[[#This Row],[Segment]]=E117,F117+1,1)</f>
        <v>7</v>
      </c>
      <c r="G118" t="str">
        <f>"Ros_"&amp;Manifest[[#This Row],[Day]]&amp;"_"&amp;Manifest[[#This Row],[Segment]]&amp;"_"&amp;TEXT(Manifest[[#This Row],[Seq]],"00")</f>
        <v>Ros_Mar_2_07</v>
      </c>
    </row>
    <row r="119" spans="1:7" x14ac:dyDescent="0.25">
      <c r="A119" t="s">
        <v>11</v>
      </c>
      <c r="B119" t="str">
        <f>Manifest[[#This Row],[newID]]</f>
        <v>Ros_Mar_2_08</v>
      </c>
      <c r="C119" t="s">
        <v>4</v>
      </c>
      <c r="D119" t="s">
        <v>61</v>
      </c>
      <c r="E119">
        <v>2</v>
      </c>
      <c r="F119">
        <f>IF(Manifest[[#This Row],[Segment]]=E118,F118+1,1)</f>
        <v>8</v>
      </c>
      <c r="G119" t="str">
        <f>"Ros_"&amp;Manifest[[#This Row],[Day]]&amp;"_"&amp;Manifest[[#This Row],[Segment]]&amp;"_"&amp;TEXT(Manifest[[#This Row],[Seq]],"00")</f>
        <v>Ros_Mar_2_08</v>
      </c>
    </row>
    <row r="120" spans="1:7" x14ac:dyDescent="0.25">
      <c r="A120" t="s">
        <v>11</v>
      </c>
      <c r="B120" t="str">
        <f>Manifest[[#This Row],[newID]]</f>
        <v>Ros_Mar_2_09</v>
      </c>
      <c r="C120" t="s">
        <v>4</v>
      </c>
      <c r="D120" t="s">
        <v>61</v>
      </c>
      <c r="E120">
        <v>2</v>
      </c>
      <c r="F120">
        <f>IF(Manifest[[#This Row],[Segment]]=E119,F119+1,1)</f>
        <v>9</v>
      </c>
      <c r="G120" t="str">
        <f>"Ros_"&amp;Manifest[[#This Row],[Day]]&amp;"_"&amp;Manifest[[#This Row],[Segment]]&amp;"_"&amp;TEXT(Manifest[[#This Row],[Seq]],"00")</f>
        <v>Ros_Mar_2_09</v>
      </c>
    </row>
    <row r="121" spans="1:7" x14ac:dyDescent="0.25">
      <c r="A121" t="s">
        <v>11</v>
      </c>
      <c r="B121" t="str">
        <f>Manifest[[#This Row],[newID]]</f>
        <v>Ros_Mar_2_10</v>
      </c>
      <c r="C121" t="s">
        <v>4</v>
      </c>
      <c r="D121" t="s">
        <v>61</v>
      </c>
      <c r="E121">
        <v>2</v>
      </c>
      <c r="F121">
        <f>IF(Manifest[[#This Row],[Segment]]=E120,F120+1,1)</f>
        <v>10</v>
      </c>
      <c r="G121" t="str">
        <f>"Ros_"&amp;Manifest[[#This Row],[Day]]&amp;"_"&amp;Manifest[[#This Row],[Segment]]&amp;"_"&amp;TEXT(Manifest[[#This Row],[Seq]],"00")</f>
        <v>Ros_Mar_2_10</v>
      </c>
    </row>
    <row r="122" spans="1:7" x14ac:dyDescent="0.25">
      <c r="A122" t="s">
        <v>11</v>
      </c>
      <c r="B122" t="str">
        <f>Manifest[[#This Row],[newID]]</f>
        <v>Ros_Mar_2_11</v>
      </c>
      <c r="C122" t="s">
        <v>4</v>
      </c>
      <c r="D122" t="s">
        <v>61</v>
      </c>
      <c r="E122">
        <v>2</v>
      </c>
      <c r="F122">
        <f>IF(Manifest[[#This Row],[Segment]]=E121,F121+1,1)</f>
        <v>11</v>
      </c>
      <c r="G122" t="str">
        <f>"Ros_"&amp;Manifest[[#This Row],[Day]]&amp;"_"&amp;Manifest[[#This Row],[Segment]]&amp;"_"&amp;TEXT(Manifest[[#This Row],[Seq]],"00")</f>
        <v>Ros_Mar_2_11</v>
      </c>
    </row>
    <row r="123" spans="1:7" x14ac:dyDescent="0.25">
      <c r="A123" t="s">
        <v>11</v>
      </c>
      <c r="B123" t="str">
        <f>Manifest[[#This Row],[newID]]</f>
        <v>Ros_Mar_2_12</v>
      </c>
      <c r="C123" t="s">
        <v>4</v>
      </c>
      <c r="D123" t="s">
        <v>61</v>
      </c>
      <c r="E123">
        <v>2</v>
      </c>
      <c r="F123">
        <f>IF(Manifest[[#This Row],[Segment]]=E122,F122+1,1)</f>
        <v>12</v>
      </c>
      <c r="G123" t="str">
        <f>"Ros_"&amp;Manifest[[#This Row],[Day]]&amp;"_"&amp;Manifest[[#This Row],[Segment]]&amp;"_"&amp;TEXT(Manifest[[#This Row],[Seq]],"00")</f>
        <v>Ros_Mar_2_12</v>
      </c>
    </row>
    <row r="124" spans="1:7" x14ac:dyDescent="0.25">
      <c r="A124" t="s">
        <v>12</v>
      </c>
      <c r="B124" t="str">
        <f>Manifest[[#This Row],[newID]]</f>
        <v>Ros_Mar_2_13</v>
      </c>
      <c r="C124" t="s">
        <v>4</v>
      </c>
      <c r="D124" t="s">
        <v>61</v>
      </c>
      <c r="E124">
        <v>2</v>
      </c>
      <c r="F124">
        <f>IF(Manifest[[#This Row],[Segment]]=E123,F123+1,1)</f>
        <v>13</v>
      </c>
      <c r="G124" t="str">
        <f>"Ros_"&amp;Manifest[[#This Row],[Day]]&amp;"_"&amp;Manifest[[#This Row],[Segment]]&amp;"_"&amp;TEXT(Manifest[[#This Row],[Seq]],"00")</f>
        <v>Ros_Mar_2_13</v>
      </c>
    </row>
    <row r="125" spans="1:7" x14ac:dyDescent="0.25">
      <c r="A125" t="s">
        <v>15</v>
      </c>
      <c r="B125" t="str">
        <f>Manifest[[#This Row],[newID]]</f>
        <v>Ros_Mar_2_14</v>
      </c>
      <c r="C125" t="s">
        <v>4</v>
      </c>
      <c r="D125" t="s">
        <v>61</v>
      </c>
      <c r="E125">
        <v>2</v>
      </c>
      <c r="F125">
        <f>IF(Manifest[[#This Row],[Segment]]=E124,F124+1,1)</f>
        <v>14</v>
      </c>
      <c r="G125" t="str">
        <f>"Ros_"&amp;Manifest[[#This Row],[Day]]&amp;"_"&amp;Manifest[[#This Row],[Segment]]&amp;"_"&amp;TEXT(Manifest[[#This Row],[Seq]],"00")</f>
        <v>Ros_Mar_2_14</v>
      </c>
    </row>
    <row r="126" spans="1:7" x14ac:dyDescent="0.25">
      <c r="A126" t="s">
        <v>35</v>
      </c>
      <c r="B126" t="str">
        <f>Manifest[[#This Row],[newID]]</f>
        <v>Ros_Mar_3_01</v>
      </c>
      <c r="C126" t="s">
        <v>4</v>
      </c>
      <c r="D126" t="s">
        <v>61</v>
      </c>
      <c r="E126">
        <v>3</v>
      </c>
      <c r="F126">
        <f>IF(Manifest[[#This Row],[Segment]]=E125,F125+1,1)</f>
        <v>1</v>
      </c>
      <c r="G126" t="str">
        <f>"Ros_"&amp;Manifest[[#This Row],[Day]]&amp;"_"&amp;Manifest[[#This Row],[Segment]]&amp;"_"&amp;TEXT(Manifest[[#This Row],[Seq]],"00")</f>
        <v>Ros_Mar_3_01</v>
      </c>
    </row>
    <row r="127" spans="1:7" x14ac:dyDescent="0.25">
      <c r="A127" t="s">
        <v>10</v>
      </c>
      <c r="B127" t="str">
        <f>Manifest[[#This Row],[newID]]</f>
        <v>Ros_Mar_3_02</v>
      </c>
      <c r="C127" t="s">
        <v>4</v>
      </c>
      <c r="D127" t="s">
        <v>61</v>
      </c>
      <c r="E127">
        <v>3</v>
      </c>
      <c r="F127">
        <f>IF(Manifest[[#This Row],[Segment]]=E126,F126+1,1)</f>
        <v>2</v>
      </c>
      <c r="G127" t="str">
        <f>"Ros_"&amp;Manifest[[#This Row],[Day]]&amp;"_"&amp;Manifest[[#This Row],[Segment]]&amp;"_"&amp;TEXT(Manifest[[#This Row],[Seq]],"00")</f>
        <v>Ros_Mar_3_02</v>
      </c>
    </row>
    <row r="128" spans="1:7" x14ac:dyDescent="0.25">
      <c r="A128" t="s">
        <v>11</v>
      </c>
      <c r="B128" t="str">
        <f>Manifest[[#This Row],[newID]]</f>
        <v>Ros_Mar_3_03</v>
      </c>
      <c r="C128" t="s">
        <v>4</v>
      </c>
      <c r="D128" t="s">
        <v>61</v>
      </c>
      <c r="E128">
        <v>3</v>
      </c>
      <c r="F128">
        <f>IF(Manifest[[#This Row],[Segment]]=E127,F127+1,1)</f>
        <v>3</v>
      </c>
      <c r="G128" t="str">
        <f>"Ros_"&amp;Manifest[[#This Row],[Day]]&amp;"_"&amp;Manifest[[#This Row],[Segment]]&amp;"_"&amp;TEXT(Manifest[[#This Row],[Seq]],"00")</f>
        <v>Ros_Mar_3_03</v>
      </c>
    </row>
    <row r="129" spans="1:7" x14ac:dyDescent="0.25">
      <c r="A129" t="s">
        <v>11</v>
      </c>
      <c r="B129" t="str">
        <f>Manifest[[#This Row],[newID]]</f>
        <v>Ros_Mar_3_04</v>
      </c>
      <c r="C129" t="s">
        <v>4</v>
      </c>
      <c r="D129" t="s">
        <v>61</v>
      </c>
      <c r="E129">
        <v>3</v>
      </c>
      <c r="F129">
        <f>IF(Manifest[[#This Row],[Segment]]=E128,F128+1,1)</f>
        <v>4</v>
      </c>
      <c r="G129" t="str">
        <f>"Ros_"&amp;Manifest[[#This Row],[Day]]&amp;"_"&amp;Manifest[[#This Row],[Segment]]&amp;"_"&amp;TEXT(Manifest[[#This Row],[Seq]],"00")</f>
        <v>Ros_Mar_3_04</v>
      </c>
    </row>
    <row r="130" spans="1:7" x14ac:dyDescent="0.25">
      <c r="A130" t="s">
        <v>11</v>
      </c>
      <c r="B130" t="str">
        <f>Manifest[[#This Row],[newID]]</f>
        <v>Ros_Mar_3_05</v>
      </c>
      <c r="C130" t="s">
        <v>4</v>
      </c>
      <c r="D130" t="s">
        <v>61</v>
      </c>
      <c r="E130">
        <v>3</v>
      </c>
      <c r="F130">
        <f>IF(Manifest[[#This Row],[Segment]]=E129,F129+1,1)</f>
        <v>5</v>
      </c>
      <c r="G130" t="str">
        <f>"Ros_"&amp;Manifest[[#This Row],[Day]]&amp;"_"&amp;Manifest[[#This Row],[Segment]]&amp;"_"&amp;TEXT(Manifest[[#This Row],[Seq]],"00")</f>
        <v>Ros_Mar_3_05</v>
      </c>
    </row>
    <row r="131" spans="1:7" x14ac:dyDescent="0.25">
      <c r="A131" t="s">
        <v>11</v>
      </c>
      <c r="B131" t="str">
        <f>Manifest[[#This Row],[newID]]</f>
        <v>Ros_Mar_3_06</v>
      </c>
      <c r="C131" t="s">
        <v>4</v>
      </c>
      <c r="D131" t="s">
        <v>61</v>
      </c>
      <c r="E131">
        <v>3</v>
      </c>
      <c r="F131">
        <f>IF(Manifest[[#This Row],[Segment]]=E130,F130+1,1)</f>
        <v>6</v>
      </c>
      <c r="G131" t="str">
        <f>"Ros_"&amp;Manifest[[#This Row],[Day]]&amp;"_"&amp;Manifest[[#This Row],[Segment]]&amp;"_"&amp;TEXT(Manifest[[#This Row],[Seq]],"00")</f>
        <v>Ros_Mar_3_06</v>
      </c>
    </row>
    <row r="132" spans="1:7" x14ac:dyDescent="0.25">
      <c r="A132" t="s">
        <v>11</v>
      </c>
      <c r="B132" t="str">
        <f>Manifest[[#This Row],[newID]]</f>
        <v>Ros_Mar_3_07</v>
      </c>
      <c r="C132" t="s">
        <v>4</v>
      </c>
      <c r="D132" t="s">
        <v>61</v>
      </c>
      <c r="E132">
        <v>3</v>
      </c>
      <c r="F132">
        <f>IF(Manifest[[#This Row],[Segment]]=E131,F131+1,1)</f>
        <v>7</v>
      </c>
      <c r="G132" t="str">
        <f>"Ros_"&amp;Manifest[[#This Row],[Day]]&amp;"_"&amp;Manifest[[#This Row],[Segment]]&amp;"_"&amp;TEXT(Manifest[[#This Row],[Seq]],"00")</f>
        <v>Ros_Mar_3_07</v>
      </c>
    </row>
    <row r="133" spans="1:7" x14ac:dyDescent="0.25">
      <c r="A133" t="s">
        <v>11</v>
      </c>
      <c r="B133" t="str">
        <f>Manifest[[#This Row],[newID]]</f>
        <v>Ros_Mar_3_08</v>
      </c>
      <c r="C133" t="s">
        <v>4</v>
      </c>
      <c r="D133" t="s">
        <v>61</v>
      </c>
      <c r="E133">
        <v>3</v>
      </c>
      <c r="F133">
        <f>IF(Manifest[[#This Row],[Segment]]=E132,F132+1,1)</f>
        <v>8</v>
      </c>
      <c r="G133" t="str">
        <f>"Ros_"&amp;Manifest[[#This Row],[Day]]&amp;"_"&amp;Manifest[[#This Row],[Segment]]&amp;"_"&amp;TEXT(Manifest[[#This Row],[Seq]],"00")</f>
        <v>Ros_Mar_3_08</v>
      </c>
    </row>
    <row r="134" spans="1:7" x14ac:dyDescent="0.25">
      <c r="A134" t="s">
        <v>11</v>
      </c>
      <c r="B134" t="str">
        <f>Manifest[[#This Row],[newID]]</f>
        <v>Ros_Mar_3_09</v>
      </c>
      <c r="C134" t="s">
        <v>4</v>
      </c>
      <c r="D134" t="s">
        <v>61</v>
      </c>
      <c r="E134">
        <v>3</v>
      </c>
      <c r="F134">
        <f>IF(Manifest[[#This Row],[Segment]]=E133,F133+1,1)</f>
        <v>9</v>
      </c>
      <c r="G134" t="str">
        <f>"Ros_"&amp;Manifest[[#This Row],[Day]]&amp;"_"&amp;Manifest[[#This Row],[Segment]]&amp;"_"&amp;TEXT(Manifest[[#This Row],[Seq]],"00")</f>
        <v>Ros_Mar_3_09</v>
      </c>
    </row>
    <row r="135" spans="1:7" x14ac:dyDescent="0.25">
      <c r="A135" t="s">
        <v>11</v>
      </c>
      <c r="B135" t="str">
        <f>Manifest[[#This Row],[newID]]</f>
        <v>Ros_Mar_3_10</v>
      </c>
      <c r="C135" t="s">
        <v>4</v>
      </c>
      <c r="D135" t="s">
        <v>61</v>
      </c>
      <c r="E135">
        <v>3</v>
      </c>
      <c r="F135">
        <f>IF(Manifest[[#This Row],[Segment]]=E134,F134+1,1)</f>
        <v>10</v>
      </c>
      <c r="G135" t="str">
        <f>"Ros_"&amp;Manifest[[#This Row],[Day]]&amp;"_"&amp;Manifest[[#This Row],[Segment]]&amp;"_"&amp;TEXT(Manifest[[#This Row],[Seq]],"00")</f>
        <v>Ros_Mar_3_10</v>
      </c>
    </row>
    <row r="136" spans="1:7" x14ac:dyDescent="0.25">
      <c r="A136" t="s">
        <v>11</v>
      </c>
      <c r="B136" t="str">
        <f>Manifest[[#This Row],[newID]]</f>
        <v>Ros_Mar_3_11</v>
      </c>
      <c r="C136" t="s">
        <v>4</v>
      </c>
      <c r="D136" t="s">
        <v>61</v>
      </c>
      <c r="E136">
        <v>3</v>
      </c>
      <c r="F136">
        <f>IF(Manifest[[#This Row],[Segment]]=E135,F135+1,1)</f>
        <v>11</v>
      </c>
      <c r="G136" t="str">
        <f>"Ros_"&amp;Manifest[[#This Row],[Day]]&amp;"_"&amp;Manifest[[#This Row],[Segment]]&amp;"_"&amp;TEXT(Manifest[[#This Row],[Seq]],"00")</f>
        <v>Ros_Mar_3_11</v>
      </c>
    </row>
    <row r="137" spans="1:7" x14ac:dyDescent="0.25">
      <c r="A137" t="s">
        <v>11</v>
      </c>
      <c r="B137" t="str">
        <f>Manifest[[#This Row],[newID]]</f>
        <v>Ros_Mar_3_12</v>
      </c>
      <c r="C137" t="s">
        <v>4</v>
      </c>
      <c r="D137" t="s">
        <v>61</v>
      </c>
      <c r="E137">
        <v>3</v>
      </c>
      <c r="F137">
        <f>IF(Manifest[[#This Row],[Segment]]=E136,F136+1,1)</f>
        <v>12</v>
      </c>
      <c r="G137" t="str">
        <f>"Ros_"&amp;Manifest[[#This Row],[Day]]&amp;"_"&amp;Manifest[[#This Row],[Segment]]&amp;"_"&amp;TEXT(Manifest[[#This Row],[Seq]],"00")</f>
        <v>Ros_Mar_3_12</v>
      </c>
    </row>
    <row r="138" spans="1:7" x14ac:dyDescent="0.25">
      <c r="A138" t="s">
        <v>12</v>
      </c>
      <c r="B138" t="str">
        <f>Manifest[[#This Row],[newID]]</f>
        <v>Ros_Mar_3_13</v>
      </c>
      <c r="C138" t="s">
        <v>4</v>
      </c>
      <c r="D138" t="s">
        <v>61</v>
      </c>
      <c r="E138">
        <v>3</v>
      </c>
      <c r="F138">
        <f>IF(Manifest[[#This Row],[Segment]]=E137,F137+1,1)</f>
        <v>13</v>
      </c>
      <c r="G138" t="str">
        <f>"Ros_"&amp;Manifest[[#This Row],[Day]]&amp;"_"&amp;Manifest[[#This Row],[Segment]]&amp;"_"&amp;TEXT(Manifest[[#This Row],[Seq]],"00")</f>
        <v>Ros_Mar_3_13</v>
      </c>
    </row>
    <row r="139" spans="1:7" x14ac:dyDescent="0.25">
      <c r="A139" t="s">
        <v>15</v>
      </c>
      <c r="B139" t="str">
        <f>Manifest[[#This Row],[newID]]</f>
        <v>Ros_Mar_3_14</v>
      </c>
      <c r="C139" t="s">
        <v>4</v>
      </c>
      <c r="D139" t="s">
        <v>61</v>
      </c>
      <c r="E139">
        <v>3</v>
      </c>
      <c r="F139">
        <f>IF(Manifest[[#This Row],[Segment]]=E138,F138+1,1)</f>
        <v>14</v>
      </c>
      <c r="G139" t="str">
        <f>"Ros_"&amp;Manifest[[#This Row],[Day]]&amp;"_"&amp;Manifest[[#This Row],[Segment]]&amp;"_"&amp;TEXT(Manifest[[#This Row],[Seq]],"00")</f>
        <v>Ros_Mar_3_14</v>
      </c>
    </row>
    <row r="140" spans="1:7" x14ac:dyDescent="0.25">
      <c r="A140" t="s">
        <v>36</v>
      </c>
      <c r="B140" t="str">
        <f>Manifest[[#This Row],[newID]]</f>
        <v>Ros_Mar_4_01</v>
      </c>
      <c r="C140" t="s">
        <v>4</v>
      </c>
      <c r="D140" t="s">
        <v>61</v>
      </c>
      <c r="E140">
        <v>4</v>
      </c>
      <c r="F140">
        <f>IF(Manifest[[#This Row],[Segment]]=E139,F139+1,1)</f>
        <v>1</v>
      </c>
      <c r="G140" t="str">
        <f>"Ros_"&amp;Manifest[[#This Row],[Day]]&amp;"_"&amp;Manifest[[#This Row],[Segment]]&amp;"_"&amp;TEXT(Manifest[[#This Row],[Seq]],"00")</f>
        <v>Ros_Mar_4_01</v>
      </c>
    </row>
    <row r="141" spans="1:7" x14ac:dyDescent="0.25">
      <c r="A141" t="s">
        <v>10</v>
      </c>
      <c r="B141" t="str">
        <f>Manifest[[#This Row],[newID]]</f>
        <v>Ros_Mar_4_02</v>
      </c>
      <c r="C141" t="s">
        <v>4</v>
      </c>
      <c r="D141" t="s">
        <v>61</v>
      </c>
      <c r="E141">
        <v>4</v>
      </c>
      <c r="F141">
        <f>IF(Manifest[[#This Row],[Segment]]=E140,F140+1,1)</f>
        <v>2</v>
      </c>
      <c r="G141" t="str">
        <f>"Ros_"&amp;Manifest[[#This Row],[Day]]&amp;"_"&amp;Manifest[[#This Row],[Segment]]&amp;"_"&amp;TEXT(Manifest[[#This Row],[Seq]],"00")</f>
        <v>Ros_Mar_4_02</v>
      </c>
    </row>
    <row r="142" spans="1:7" x14ac:dyDescent="0.25">
      <c r="A142" t="s">
        <v>11</v>
      </c>
      <c r="B142" t="str">
        <f>Manifest[[#This Row],[newID]]</f>
        <v>Ros_Mar_4_03</v>
      </c>
      <c r="C142" t="s">
        <v>4</v>
      </c>
      <c r="D142" t="s">
        <v>61</v>
      </c>
      <c r="E142">
        <v>4</v>
      </c>
      <c r="F142">
        <f>IF(Manifest[[#This Row],[Segment]]=E141,F141+1,1)</f>
        <v>3</v>
      </c>
      <c r="G142" t="str">
        <f>"Ros_"&amp;Manifest[[#This Row],[Day]]&amp;"_"&amp;Manifest[[#This Row],[Segment]]&amp;"_"&amp;TEXT(Manifest[[#This Row],[Seq]],"00")</f>
        <v>Ros_Mar_4_03</v>
      </c>
    </row>
    <row r="143" spans="1:7" x14ac:dyDescent="0.25">
      <c r="A143" t="s">
        <v>11</v>
      </c>
      <c r="B143" t="str">
        <f>Manifest[[#This Row],[newID]]</f>
        <v>Ros_Mar_4_04</v>
      </c>
      <c r="C143" t="s">
        <v>4</v>
      </c>
      <c r="D143" t="s">
        <v>61</v>
      </c>
      <c r="E143">
        <v>4</v>
      </c>
      <c r="F143">
        <f>IF(Manifest[[#This Row],[Segment]]=E142,F142+1,1)</f>
        <v>4</v>
      </c>
      <c r="G143" t="str">
        <f>"Ros_"&amp;Manifest[[#This Row],[Day]]&amp;"_"&amp;Manifest[[#This Row],[Segment]]&amp;"_"&amp;TEXT(Manifest[[#This Row],[Seq]],"00")</f>
        <v>Ros_Mar_4_04</v>
      </c>
    </row>
    <row r="144" spans="1:7" x14ac:dyDescent="0.25">
      <c r="A144" t="s">
        <v>11</v>
      </c>
      <c r="B144" t="str">
        <f>Manifest[[#This Row],[newID]]</f>
        <v>Ros_Mar_4_05</v>
      </c>
      <c r="C144" t="s">
        <v>4</v>
      </c>
      <c r="D144" t="s">
        <v>61</v>
      </c>
      <c r="E144">
        <v>4</v>
      </c>
      <c r="F144">
        <f>IF(Manifest[[#This Row],[Segment]]=E143,F143+1,1)</f>
        <v>5</v>
      </c>
      <c r="G144" t="str">
        <f>"Ros_"&amp;Manifest[[#This Row],[Day]]&amp;"_"&amp;Manifest[[#This Row],[Segment]]&amp;"_"&amp;TEXT(Manifest[[#This Row],[Seq]],"00")</f>
        <v>Ros_Mar_4_05</v>
      </c>
    </row>
    <row r="145" spans="1:7" x14ac:dyDescent="0.25">
      <c r="A145" t="s">
        <v>11</v>
      </c>
      <c r="B145" t="str">
        <f>Manifest[[#This Row],[newID]]</f>
        <v>Ros_Mar_4_06</v>
      </c>
      <c r="C145" t="s">
        <v>4</v>
      </c>
      <c r="D145" t="s">
        <v>61</v>
      </c>
      <c r="E145">
        <v>4</v>
      </c>
      <c r="F145">
        <f>IF(Manifest[[#This Row],[Segment]]=E144,F144+1,1)</f>
        <v>6</v>
      </c>
      <c r="G145" t="str">
        <f>"Ros_"&amp;Manifest[[#This Row],[Day]]&amp;"_"&amp;Manifest[[#This Row],[Segment]]&amp;"_"&amp;TEXT(Manifest[[#This Row],[Seq]],"00")</f>
        <v>Ros_Mar_4_06</v>
      </c>
    </row>
    <row r="146" spans="1:7" x14ac:dyDescent="0.25">
      <c r="A146" t="s">
        <v>11</v>
      </c>
      <c r="B146" t="str">
        <f>Manifest[[#This Row],[newID]]</f>
        <v>Ros_Mar_4_07</v>
      </c>
      <c r="C146" t="s">
        <v>4</v>
      </c>
      <c r="D146" t="s">
        <v>61</v>
      </c>
      <c r="E146">
        <v>4</v>
      </c>
      <c r="F146">
        <f>IF(Manifest[[#This Row],[Segment]]=E145,F145+1,1)</f>
        <v>7</v>
      </c>
      <c r="G146" t="str">
        <f>"Ros_"&amp;Manifest[[#This Row],[Day]]&amp;"_"&amp;Manifest[[#This Row],[Segment]]&amp;"_"&amp;TEXT(Manifest[[#This Row],[Seq]],"00")</f>
        <v>Ros_Mar_4_07</v>
      </c>
    </row>
    <row r="147" spans="1:7" x14ac:dyDescent="0.25">
      <c r="A147" t="s">
        <v>11</v>
      </c>
      <c r="B147" t="str">
        <f>Manifest[[#This Row],[newID]]</f>
        <v>Ros_Mar_4_08</v>
      </c>
      <c r="C147" t="s">
        <v>4</v>
      </c>
      <c r="D147" t="s">
        <v>61</v>
      </c>
      <c r="E147">
        <v>4</v>
      </c>
      <c r="F147">
        <f>IF(Manifest[[#This Row],[Segment]]=E146,F146+1,1)</f>
        <v>8</v>
      </c>
      <c r="G147" t="str">
        <f>"Ros_"&amp;Manifest[[#This Row],[Day]]&amp;"_"&amp;Manifest[[#This Row],[Segment]]&amp;"_"&amp;TEXT(Manifest[[#This Row],[Seq]],"00")</f>
        <v>Ros_Mar_4_08</v>
      </c>
    </row>
    <row r="148" spans="1:7" x14ac:dyDescent="0.25">
      <c r="A148" t="s">
        <v>11</v>
      </c>
      <c r="B148" t="str">
        <f>Manifest[[#This Row],[newID]]</f>
        <v>Ros_Mar_4_09</v>
      </c>
      <c r="C148" t="s">
        <v>4</v>
      </c>
      <c r="D148" t="s">
        <v>61</v>
      </c>
      <c r="E148">
        <v>4</v>
      </c>
      <c r="F148">
        <f>IF(Manifest[[#This Row],[Segment]]=E147,F147+1,1)</f>
        <v>9</v>
      </c>
      <c r="G148" t="str">
        <f>"Ros_"&amp;Manifest[[#This Row],[Day]]&amp;"_"&amp;Manifest[[#This Row],[Segment]]&amp;"_"&amp;TEXT(Manifest[[#This Row],[Seq]],"00")</f>
        <v>Ros_Mar_4_09</v>
      </c>
    </row>
    <row r="149" spans="1:7" x14ac:dyDescent="0.25">
      <c r="A149" t="s">
        <v>11</v>
      </c>
      <c r="B149" t="str">
        <f>Manifest[[#This Row],[newID]]</f>
        <v>Ros_Mar_4_10</v>
      </c>
      <c r="C149" t="s">
        <v>4</v>
      </c>
      <c r="D149" t="s">
        <v>61</v>
      </c>
      <c r="E149">
        <v>4</v>
      </c>
      <c r="F149">
        <f>IF(Manifest[[#This Row],[Segment]]=E148,F148+1,1)</f>
        <v>10</v>
      </c>
      <c r="G149" t="str">
        <f>"Ros_"&amp;Manifest[[#This Row],[Day]]&amp;"_"&amp;Manifest[[#This Row],[Segment]]&amp;"_"&amp;TEXT(Manifest[[#This Row],[Seq]],"00")</f>
        <v>Ros_Mar_4_10</v>
      </c>
    </row>
    <row r="150" spans="1:7" x14ac:dyDescent="0.25">
      <c r="A150" t="s">
        <v>11</v>
      </c>
      <c r="B150" t="str">
        <f>Manifest[[#This Row],[newID]]</f>
        <v>Ros_Mar_4_11</v>
      </c>
      <c r="C150" t="s">
        <v>4</v>
      </c>
      <c r="D150" t="s">
        <v>61</v>
      </c>
      <c r="E150">
        <v>4</v>
      </c>
      <c r="F150">
        <f>IF(Manifest[[#This Row],[Segment]]=E149,F149+1,1)</f>
        <v>11</v>
      </c>
      <c r="G150" t="str">
        <f>"Ros_"&amp;Manifest[[#This Row],[Day]]&amp;"_"&amp;Manifest[[#This Row],[Segment]]&amp;"_"&amp;TEXT(Manifest[[#This Row],[Seq]],"00")</f>
        <v>Ros_Mar_4_11</v>
      </c>
    </row>
    <row r="151" spans="1:7" x14ac:dyDescent="0.25">
      <c r="A151" t="s">
        <v>11</v>
      </c>
      <c r="B151" t="str">
        <f>Manifest[[#This Row],[newID]]</f>
        <v>Ros_Mar_4_12</v>
      </c>
      <c r="C151" t="s">
        <v>4</v>
      </c>
      <c r="D151" t="s">
        <v>61</v>
      </c>
      <c r="E151">
        <v>4</v>
      </c>
      <c r="F151">
        <f>IF(Manifest[[#This Row],[Segment]]=E150,F150+1,1)</f>
        <v>12</v>
      </c>
      <c r="G151" t="str">
        <f>"Ros_"&amp;Manifest[[#This Row],[Day]]&amp;"_"&amp;Manifest[[#This Row],[Segment]]&amp;"_"&amp;TEXT(Manifest[[#This Row],[Seq]],"00")</f>
        <v>Ros_Mar_4_12</v>
      </c>
    </row>
    <row r="152" spans="1:7" x14ac:dyDescent="0.25">
      <c r="A152" t="s">
        <v>12</v>
      </c>
      <c r="B152" t="str">
        <f>Manifest[[#This Row],[newID]]</f>
        <v>Ros_Mar_4_13</v>
      </c>
      <c r="C152" t="s">
        <v>4</v>
      </c>
      <c r="D152" t="s">
        <v>61</v>
      </c>
      <c r="E152">
        <v>4</v>
      </c>
      <c r="F152">
        <f>IF(Manifest[[#This Row],[Segment]]=E151,F151+1,1)</f>
        <v>13</v>
      </c>
      <c r="G152" t="str">
        <f>"Ros_"&amp;Manifest[[#This Row],[Day]]&amp;"_"&amp;Manifest[[#This Row],[Segment]]&amp;"_"&amp;TEXT(Manifest[[#This Row],[Seq]],"00")</f>
        <v>Ros_Mar_4_13</v>
      </c>
    </row>
    <row r="153" spans="1:7" x14ac:dyDescent="0.25">
      <c r="A153" t="s">
        <v>15</v>
      </c>
      <c r="B153" t="str">
        <f>Manifest[[#This Row],[newID]]</f>
        <v>Ros_Mar_4_14</v>
      </c>
      <c r="C153" t="s">
        <v>4</v>
      </c>
      <c r="D153" t="s">
        <v>61</v>
      </c>
      <c r="E153">
        <v>4</v>
      </c>
      <c r="F153">
        <f>IF(Manifest[[#This Row],[Segment]]=E152,F152+1,1)</f>
        <v>14</v>
      </c>
      <c r="G153" t="str">
        <f>"Ros_"&amp;Manifest[[#This Row],[Day]]&amp;"_"&amp;Manifest[[#This Row],[Segment]]&amp;"_"&amp;TEXT(Manifest[[#This Row],[Seq]],"00")</f>
        <v>Ros_Mar_4_14</v>
      </c>
    </row>
    <row r="154" spans="1:7" x14ac:dyDescent="0.25">
      <c r="A154" t="s">
        <v>37</v>
      </c>
      <c r="B154" t="str">
        <f>Manifest[[#This Row],[newID]]</f>
        <v>Ros_Mar_5_01</v>
      </c>
      <c r="C154" t="s">
        <v>4</v>
      </c>
      <c r="D154" t="s">
        <v>61</v>
      </c>
      <c r="E154">
        <v>5</v>
      </c>
      <c r="F154">
        <f>IF(Manifest[[#This Row],[Segment]]=E153,F153+1,1)</f>
        <v>1</v>
      </c>
      <c r="G154" t="str">
        <f>"Ros_"&amp;Manifest[[#This Row],[Day]]&amp;"_"&amp;Manifest[[#This Row],[Segment]]&amp;"_"&amp;TEXT(Manifest[[#This Row],[Seq]],"00")</f>
        <v>Ros_Mar_5_01</v>
      </c>
    </row>
    <row r="155" spans="1:7" x14ac:dyDescent="0.25">
      <c r="A155" t="s">
        <v>10</v>
      </c>
      <c r="B155" t="str">
        <f>Manifest[[#This Row],[newID]]</f>
        <v>Ros_Mar_5_02</v>
      </c>
      <c r="C155" t="s">
        <v>4</v>
      </c>
      <c r="D155" t="s">
        <v>61</v>
      </c>
      <c r="E155">
        <v>5</v>
      </c>
      <c r="F155">
        <f>IF(Manifest[[#This Row],[Segment]]=E154,F154+1,1)</f>
        <v>2</v>
      </c>
      <c r="G155" t="str">
        <f>"Ros_"&amp;Manifest[[#This Row],[Day]]&amp;"_"&amp;Manifest[[#This Row],[Segment]]&amp;"_"&amp;TEXT(Manifest[[#This Row],[Seq]],"00")</f>
        <v>Ros_Mar_5_02</v>
      </c>
    </row>
    <row r="156" spans="1:7" x14ac:dyDescent="0.25">
      <c r="A156" t="s">
        <v>11</v>
      </c>
      <c r="B156" t="str">
        <f>Manifest[[#This Row],[newID]]</f>
        <v>Ros_Mar_5_03</v>
      </c>
      <c r="C156" t="s">
        <v>4</v>
      </c>
      <c r="D156" t="s">
        <v>61</v>
      </c>
      <c r="E156">
        <v>5</v>
      </c>
      <c r="F156">
        <f>IF(Manifest[[#This Row],[Segment]]=E155,F155+1,1)</f>
        <v>3</v>
      </c>
      <c r="G156" t="str">
        <f>"Ros_"&amp;Manifest[[#This Row],[Day]]&amp;"_"&amp;Manifest[[#This Row],[Segment]]&amp;"_"&amp;TEXT(Manifest[[#This Row],[Seq]],"00")</f>
        <v>Ros_Mar_5_03</v>
      </c>
    </row>
    <row r="157" spans="1:7" x14ac:dyDescent="0.25">
      <c r="A157" t="s">
        <v>11</v>
      </c>
      <c r="B157" t="str">
        <f>Manifest[[#This Row],[newID]]</f>
        <v>Ros_Mar_5_04</v>
      </c>
      <c r="C157" t="s">
        <v>4</v>
      </c>
      <c r="D157" t="s">
        <v>61</v>
      </c>
      <c r="E157">
        <v>5</v>
      </c>
      <c r="F157">
        <f>IF(Manifest[[#This Row],[Segment]]=E156,F156+1,1)</f>
        <v>4</v>
      </c>
      <c r="G157" t="str">
        <f>"Ros_"&amp;Manifest[[#This Row],[Day]]&amp;"_"&amp;Manifest[[#This Row],[Segment]]&amp;"_"&amp;TEXT(Manifest[[#This Row],[Seq]],"00")</f>
        <v>Ros_Mar_5_04</v>
      </c>
    </row>
    <row r="158" spans="1:7" x14ac:dyDescent="0.25">
      <c r="A158" t="s">
        <v>11</v>
      </c>
      <c r="B158" t="str">
        <f>Manifest[[#This Row],[newID]]</f>
        <v>Ros_Mar_5_05</v>
      </c>
      <c r="C158" t="s">
        <v>4</v>
      </c>
      <c r="D158" t="s">
        <v>61</v>
      </c>
      <c r="E158">
        <v>5</v>
      </c>
      <c r="F158">
        <f>IF(Manifest[[#This Row],[Segment]]=E157,F157+1,1)</f>
        <v>5</v>
      </c>
      <c r="G158" t="str">
        <f>"Ros_"&amp;Manifest[[#This Row],[Day]]&amp;"_"&amp;Manifest[[#This Row],[Segment]]&amp;"_"&amp;TEXT(Manifest[[#This Row],[Seq]],"00")</f>
        <v>Ros_Mar_5_05</v>
      </c>
    </row>
    <row r="159" spans="1:7" x14ac:dyDescent="0.25">
      <c r="A159" t="s">
        <v>11</v>
      </c>
      <c r="B159" t="str">
        <f>Manifest[[#This Row],[newID]]</f>
        <v>Ros_Mar_5_06</v>
      </c>
      <c r="C159" t="s">
        <v>4</v>
      </c>
      <c r="D159" t="s">
        <v>61</v>
      </c>
      <c r="E159">
        <v>5</v>
      </c>
      <c r="F159">
        <f>IF(Manifest[[#This Row],[Segment]]=E158,F158+1,1)</f>
        <v>6</v>
      </c>
      <c r="G159" t="str">
        <f>"Ros_"&amp;Manifest[[#This Row],[Day]]&amp;"_"&amp;Manifest[[#This Row],[Segment]]&amp;"_"&amp;TEXT(Manifest[[#This Row],[Seq]],"00")</f>
        <v>Ros_Mar_5_06</v>
      </c>
    </row>
    <row r="160" spans="1:7" x14ac:dyDescent="0.25">
      <c r="A160" t="s">
        <v>11</v>
      </c>
      <c r="B160" t="str">
        <f>Manifest[[#This Row],[newID]]</f>
        <v>Ros_Mar_5_07</v>
      </c>
      <c r="C160" t="s">
        <v>4</v>
      </c>
      <c r="D160" t="s">
        <v>61</v>
      </c>
      <c r="E160">
        <v>5</v>
      </c>
      <c r="F160">
        <f>IF(Manifest[[#This Row],[Segment]]=E159,F159+1,1)</f>
        <v>7</v>
      </c>
      <c r="G160" t="str">
        <f>"Ros_"&amp;Manifest[[#This Row],[Day]]&amp;"_"&amp;Manifest[[#This Row],[Segment]]&amp;"_"&amp;TEXT(Manifest[[#This Row],[Seq]],"00")</f>
        <v>Ros_Mar_5_07</v>
      </c>
    </row>
    <row r="161" spans="1:7" x14ac:dyDescent="0.25">
      <c r="A161" t="s">
        <v>11</v>
      </c>
      <c r="B161" t="str">
        <f>Manifest[[#This Row],[newID]]</f>
        <v>Ros_Mar_5_08</v>
      </c>
      <c r="C161" t="s">
        <v>4</v>
      </c>
      <c r="D161" t="s">
        <v>61</v>
      </c>
      <c r="E161">
        <v>5</v>
      </c>
      <c r="F161">
        <f>IF(Manifest[[#This Row],[Segment]]=E160,F160+1,1)</f>
        <v>8</v>
      </c>
      <c r="G161" t="str">
        <f>"Ros_"&amp;Manifest[[#This Row],[Day]]&amp;"_"&amp;Manifest[[#This Row],[Segment]]&amp;"_"&amp;TEXT(Manifest[[#This Row],[Seq]],"00")</f>
        <v>Ros_Mar_5_08</v>
      </c>
    </row>
    <row r="162" spans="1:7" x14ac:dyDescent="0.25">
      <c r="A162" t="s">
        <v>11</v>
      </c>
      <c r="B162" t="str">
        <f>Manifest[[#This Row],[newID]]</f>
        <v>Ros_Mar_5_09</v>
      </c>
      <c r="C162" t="s">
        <v>4</v>
      </c>
      <c r="D162" t="s">
        <v>61</v>
      </c>
      <c r="E162">
        <v>5</v>
      </c>
      <c r="F162">
        <f>IF(Manifest[[#This Row],[Segment]]=E161,F161+1,1)</f>
        <v>9</v>
      </c>
      <c r="G162" t="str">
        <f>"Ros_"&amp;Manifest[[#This Row],[Day]]&amp;"_"&amp;Manifest[[#This Row],[Segment]]&amp;"_"&amp;TEXT(Manifest[[#This Row],[Seq]],"00")</f>
        <v>Ros_Mar_5_09</v>
      </c>
    </row>
    <row r="163" spans="1:7" x14ac:dyDescent="0.25">
      <c r="A163" t="s">
        <v>11</v>
      </c>
      <c r="B163" t="str">
        <f>Manifest[[#This Row],[newID]]</f>
        <v>Ros_Mar_5_10</v>
      </c>
      <c r="C163" t="s">
        <v>4</v>
      </c>
      <c r="D163" t="s">
        <v>61</v>
      </c>
      <c r="E163">
        <v>5</v>
      </c>
      <c r="F163">
        <f>IF(Manifest[[#This Row],[Segment]]=E162,F162+1,1)</f>
        <v>10</v>
      </c>
      <c r="G163" t="str">
        <f>"Ros_"&amp;Manifest[[#This Row],[Day]]&amp;"_"&amp;Manifest[[#This Row],[Segment]]&amp;"_"&amp;TEXT(Manifest[[#This Row],[Seq]],"00")</f>
        <v>Ros_Mar_5_10</v>
      </c>
    </row>
    <row r="164" spans="1:7" x14ac:dyDescent="0.25">
      <c r="A164" t="s">
        <v>11</v>
      </c>
      <c r="B164" t="str">
        <f>Manifest[[#This Row],[newID]]</f>
        <v>Ros_Mar_5_11</v>
      </c>
      <c r="C164" t="s">
        <v>4</v>
      </c>
      <c r="D164" t="s">
        <v>61</v>
      </c>
      <c r="E164">
        <v>5</v>
      </c>
      <c r="F164">
        <f>IF(Manifest[[#This Row],[Segment]]=E163,F163+1,1)</f>
        <v>11</v>
      </c>
      <c r="G164" t="str">
        <f>"Ros_"&amp;Manifest[[#This Row],[Day]]&amp;"_"&amp;Manifest[[#This Row],[Segment]]&amp;"_"&amp;TEXT(Manifest[[#This Row],[Seq]],"00")</f>
        <v>Ros_Mar_5_11</v>
      </c>
    </row>
    <row r="165" spans="1:7" x14ac:dyDescent="0.25">
      <c r="A165" t="s">
        <v>11</v>
      </c>
      <c r="B165" t="str">
        <f>Manifest[[#This Row],[newID]]</f>
        <v>Ros_Mar_5_12</v>
      </c>
      <c r="C165" t="s">
        <v>4</v>
      </c>
      <c r="D165" t="s">
        <v>61</v>
      </c>
      <c r="E165">
        <v>5</v>
      </c>
      <c r="F165">
        <f>IF(Manifest[[#This Row],[Segment]]=E164,F164+1,1)</f>
        <v>12</v>
      </c>
      <c r="G165" t="str">
        <f>"Ros_"&amp;Manifest[[#This Row],[Day]]&amp;"_"&amp;Manifest[[#This Row],[Segment]]&amp;"_"&amp;TEXT(Manifest[[#This Row],[Seq]],"00")</f>
        <v>Ros_Mar_5_12</v>
      </c>
    </row>
    <row r="166" spans="1:7" x14ac:dyDescent="0.25">
      <c r="A166" t="s">
        <v>12</v>
      </c>
      <c r="B166" t="str">
        <f>Manifest[[#This Row],[newID]]</f>
        <v>Ros_Mar_5_13</v>
      </c>
      <c r="C166" t="s">
        <v>4</v>
      </c>
      <c r="D166" t="s">
        <v>61</v>
      </c>
      <c r="E166">
        <v>5</v>
      </c>
      <c r="F166">
        <f>IF(Manifest[[#This Row],[Segment]]=E165,F165+1,1)</f>
        <v>13</v>
      </c>
      <c r="G166" t="str">
        <f>"Ros_"&amp;Manifest[[#This Row],[Day]]&amp;"_"&amp;Manifest[[#This Row],[Segment]]&amp;"_"&amp;TEXT(Manifest[[#This Row],[Seq]],"00")</f>
        <v>Ros_Mar_5_13</v>
      </c>
    </row>
    <row r="167" spans="1:7" x14ac:dyDescent="0.25">
      <c r="A167" t="s">
        <v>15</v>
      </c>
      <c r="B167" t="str">
        <f>Manifest[[#This Row],[newID]]</f>
        <v>Ros_Mar_5_14</v>
      </c>
      <c r="C167" t="s">
        <v>4</v>
      </c>
      <c r="D167" t="s">
        <v>61</v>
      </c>
      <c r="E167">
        <v>5</v>
      </c>
      <c r="F167">
        <f>IF(Manifest[[#This Row],[Segment]]=E166,F166+1,1)</f>
        <v>14</v>
      </c>
      <c r="G167" t="str">
        <f>"Ros_"&amp;Manifest[[#This Row],[Day]]&amp;"_"&amp;Manifest[[#This Row],[Segment]]&amp;"_"&amp;TEXT(Manifest[[#This Row],[Seq]],"00")</f>
        <v>Ros_Mar_5_14</v>
      </c>
    </row>
    <row r="168" spans="1:7" x14ac:dyDescent="0.25">
      <c r="A168" t="s">
        <v>20</v>
      </c>
      <c r="B168" t="str">
        <f>Manifest[[#This Row],[newID]]</f>
        <v>Ros_Mar_6_01</v>
      </c>
      <c r="C168" t="s">
        <v>4</v>
      </c>
      <c r="D168" t="s">
        <v>61</v>
      </c>
      <c r="E168">
        <v>6</v>
      </c>
      <c r="F168">
        <f>IF(Manifest[[#This Row],[Segment]]=E167,F167+1,1)</f>
        <v>1</v>
      </c>
      <c r="G168" t="str">
        <f>"Ros_"&amp;Manifest[[#This Row],[Day]]&amp;"_"&amp;Manifest[[#This Row],[Segment]]&amp;"_"&amp;TEXT(Manifest[[#This Row],[Seq]],"00")</f>
        <v>Ros_Mar_6_01</v>
      </c>
    </row>
    <row r="169" spans="1:7" x14ac:dyDescent="0.25">
      <c r="A169" t="s">
        <v>21</v>
      </c>
      <c r="B169" t="str">
        <f>Manifest[[#This Row],[newID]]</f>
        <v>Ros_Mar_6_02</v>
      </c>
      <c r="C169" t="s">
        <v>4</v>
      </c>
      <c r="D169" t="s">
        <v>61</v>
      </c>
      <c r="E169">
        <v>6</v>
      </c>
      <c r="F169">
        <f>IF(Manifest[[#This Row],[Segment]]=E168,F168+1,1)</f>
        <v>2</v>
      </c>
      <c r="G169" t="str">
        <f>"Ros_"&amp;Manifest[[#This Row],[Day]]&amp;"_"&amp;Manifest[[#This Row],[Segment]]&amp;"_"&amp;TEXT(Manifest[[#This Row],[Seq]],"00")</f>
        <v>Ros_Mar_6_02</v>
      </c>
    </row>
    <row r="170" spans="1:7" x14ac:dyDescent="0.25">
      <c r="A170" t="s">
        <v>24</v>
      </c>
      <c r="B170" t="str">
        <f>Manifest[[#This Row],[newID]]</f>
        <v>Ros_Mar_6_03</v>
      </c>
      <c r="C170" t="s">
        <v>4</v>
      </c>
      <c r="D170" t="s">
        <v>61</v>
      </c>
      <c r="E170">
        <v>6</v>
      </c>
      <c r="F170">
        <f>IF(Manifest[[#This Row],[Segment]]=E169,F169+1,1)</f>
        <v>3</v>
      </c>
      <c r="G170" t="str">
        <f>"Ros_"&amp;Manifest[[#This Row],[Day]]&amp;"_"&amp;Manifest[[#This Row],[Segment]]&amp;"_"&amp;TEXT(Manifest[[#This Row],[Seq]],"00")</f>
        <v>Ros_Mar_6_03</v>
      </c>
    </row>
    <row r="171" spans="1:7" x14ac:dyDescent="0.25">
      <c r="A171" t="s">
        <v>25</v>
      </c>
      <c r="B171" t="str">
        <f>Manifest[[#This Row],[newID]]</f>
        <v>Ros_Mar_6_04</v>
      </c>
      <c r="C171" t="s">
        <v>4</v>
      </c>
      <c r="D171" t="s">
        <v>61</v>
      </c>
      <c r="E171">
        <v>6</v>
      </c>
      <c r="F171">
        <f>IF(Manifest[[#This Row],[Segment]]=E170,F170+1,1)</f>
        <v>4</v>
      </c>
      <c r="G171" t="str">
        <f>"Ros_"&amp;Manifest[[#This Row],[Day]]&amp;"_"&amp;Manifest[[#This Row],[Segment]]&amp;"_"&amp;TEXT(Manifest[[#This Row],[Seq]],"00")</f>
        <v>Ros_Mar_6_04</v>
      </c>
    </row>
    <row r="172" spans="1:7" x14ac:dyDescent="0.25">
      <c r="A172" t="s">
        <v>31</v>
      </c>
      <c r="B172" t="str">
        <f>Manifest[[#This Row],[newID]]</f>
        <v>Ros_Mar_6_05</v>
      </c>
      <c r="C172" t="s">
        <v>4</v>
      </c>
      <c r="D172" t="s">
        <v>61</v>
      </c>
      <c r="E172">
        <v>6</v>
      </c>
      <c r="F172">
        <f>IF(Manifest[[#This Row],[Segment]]=E171,F171+1,1)</f>
        <v>5</v>
      </c>
      <c r="G172" t="str">
        <f>"Ros_"&amp;Manifest[[#This Row],[Day]]&amp;"_"&amp;Manifest[[#This Row],[Segment]]&amp;"_"&amp;TEXT(Manifest[[#This Row],[Seq]],"00")</f>
        <v>Ros_Mar_6_05</v>
      </c>
    </row>
    <row r="173" spans="1:7" x14ac:dyDescent="0.25">
      <c r="A173" t="s">
        <v>38</v>
      </c>
      <c r="B173" t="str">
        <f>Manifest[[#This Row],[newID]]</f>
        <v>Ros_Mie_0_01</v>
      </c>
      <c r="C173" t="s">
        <v>4</v>
      </c>
      <c r="D173" t="s">
        <v>60</v>
      </c>
      <c r="E173">
        <v>0</v>
      </c>
      <c r="F173">
        <f>IF(Manifest[[#This Row],[Segment]]=E172,F172+1,1)</f>
        <v>1</v>
      </c>
      <c r="G173" t="str">
        <f>"Ros_"&amp;Manifest[[#This Row],[Day]]&amp;"_"&amp;Manifest[[#This Row],[Segment]]&amp;"_"&amp;TEXT(Manifest[[#This Row],[Seq]],"00")</f>
        <v>Ros_Mie_0_01</v>
      </c>
    </row>
    <row r="174" spans="1:7" x14ac:dyDescent="0.25">
      <c r="A174" t="s">
        <v>7</v>
      </c>
      <c r="B174" t="str">
        <f>Manifest[[#This Row],[newID]]</f>
        <v>Ros_Mie_0_02</v>
      </c>
      <c r="C174" t="s">
        <v>4</v>
      </c>
      <c r="D174" t="s">
        <v>60</v>
      </c>
      <c r="E174">
        <v>0</v>
      </c>
      <c r="F174">
        <f>IF(Manifest[[#This Row],[Segment]]=E173,F173+1,1)</f>
        <v>2</v>
      </c>
      <c r="G174" t="str">
        <f>"Ros_"&amp;Manifest[[#This Row],[Day]]&amp;"_"&amp;Manifest[[#This Row],[Segment]]&amp;"_"&amp;TEXT(Manifest[[#This Row],[Seq]],"00")</f>
        <v>Ros_Mie_0_02</v>
      </c>
    </row>
    <row r="175" spans="1:7" x14ac:dyDescent="0.25">
      <c r="A175" t="s">
        <v>8</v>
      </c>
      <c r="B175" t="str">
        <f>Manifest[[#This Row],[newID]]</f>
        <v>Ros_Mie_0_03</v>
      </c>
      <c r="C175" t="s">
        <v>4</v>
      </c>
      <c r="D175" t="s">
        <v>60</v>
      </c>
      <c r="E175">
        <v>0</v>
      </c>
      <c r="F175">
        <f>IF(Manifest[[#This Row],[Segment]]=E174,F174+1,1)</f>
        <v>3</v>
      </c>
      <c r="G175" t="str">
        <f>"Ros_"&amp;Manifest[[#This Row],[Day]]&amp;"_"&amp;Manifest[[#This Row],[Segment]]&amp;"_"&amp;TEXT(Manifest[[#This Row],[Seq]],"00")</f>
        <v>Ros_Mie_0_03</v>
      </c>
    </row>
    <row r="176" spans="1:7" x14ac:dyDescent="0.25">
      <c r="A176" t="s">
        <v>9</v>
      </c>
      <c r="B176" t="str">
        <f>Manifest[[#This Row],[newID]]</f>
        <v>Ros_Mie_0_04</v>
      </c>
      <c r="C176" t="s">
        <v>4</v>
      </c>
      <c r="D176" t="s">
        <v>60</v>
      </c>
      <c r="E176">
        <v>0</v>
      </c>
      <c r="F176">
        <f>IF(Manifest[[#This Row],[Segment]]=E175,F175+1,1)</f>
        <v>4</v>
      </c>
      <c r="G176" t="str">
        <f>"Ros_"&amp;Manifest[[#This Row],[Day]]&amp;"_"&amp;Manifest[[#This Row],[Segment]]&amp;"_"&amp;TEXT(Manifest[[#This Row],[Seq]],"00")</f>
        <v>Ros_Mie_0_04</v>
      </c>
    </row>
    <row r="177" spans="1:7" x14ac:dyDescent="0.25">
      <c r="A177" t="s">
        <v>10</v>
      </c>
      <c r="B177" t="str">
        <f>Manifest[[#This Row],[newID]]</f>
        <v>Ros_Mie_0_05</v>
      </c>
      <c r="C177" t="s">
        <v>4</v>
      </c>
      <c r="D177" t="s">
        <v>60</v>
      </c>
      <c r="E177">
        <v>0</v>
      </c>
      <c r="F177">
        <f>IF(Manifest[[#This Row],[Segment]]=E176,F176+1,1)</f>
        <v>5</v>
      </c>
      <c r="G177" t="str">
        <f>"Ros_"&amp;Manifest[[#This Row],[Day]]&amp;"_"&amp;Manifest[[#This Row],[Segment]]&amp;"_"&amp;TEXT(Manifest[[#This Row],[Seq]],"00")</f>
        <v>Ros_Mie_0_05</v>
      </c>
    </row>
    <row r="178" spans="1:7" x14ac:dyDescent="0.25">
      <c r="A178" t="s">
        <v>11</v>
      </c>
      <c r="B178" t="str">
        <f>Manifest[[#This Row],[newID]]</f>
        <v>Ros_Mie_0_06</v>
      </c>
      <c r="C178" t="s">
        <v>4</v>
      </c>
      <c r="D178" t="s">
        <v>60</v>
      </c>
      <c r="E178">
        <v>0</v>
      </c>
      <c r="F178">
        <f>IF(Manifest[[#This Row],[Segment]]=E177,F177+1,1)</f>
        <v>6</v>
      </c>
      <c r="G178" t="str">
        <f>"Ros_"&amp;Manifest[[#This Row],[Day]]&amp;"_"&amp;Manifest[[#This Row],[Segment]]&amp;"_"&amp;TEXT(Manifest[[#This Row],[Seq]],"00")</f>
        <v>Ros_Mie_0_06</v>
      </c>
    </row>
    <row r="179" spans="1:7" x14ac:dyDescent="0.25">
      <c r="A179" t="s">
        <v>11</v>
      </c>
      <c r="B179" t="str">
        <f>Manifest[[#This Row],[newID]]</f>
        <v>Ros_Mie_0_07</v>
      </c>
      <c r="C179" t="s">
        <v>4</v>
      </c>
      <c r="D179" t="s">
        <v>60</v>
      </c>
      <c r="E179">
        <v>0</v>
      </c>
      <c r="F179">
        <f>IF(Manifest[[#This Row],[Segment]]=E178,F178+1,1)</f>
        <v>7</v>
      </c>
      <c r="G179" t="str">
        <f>"Ros_"&amp;Manifest[[#This Row],[Day]]&amp;"_"&amp;Manifest[[#This Row],[Segment]]&amp;"_"&amp;TEXT(Manifest[[#This Row],[Seq]],"00")</f>
        <v>Ros_Mie_0_07</v>
      </c>
    </row>
    <row r="180" spans="1:7" x14ac:dyDescent="0.25">
      <c r="A180" t="s">
        <v>11</v>
      </c>
      <c r="B180" t="str">
        <f>Manifest[[#This Row],[newID]]</f>
        <v>Ros_Mie_0_08</v>
      </c>
      <c r="C180" t="s">
        <v>4</v>
      </c>
      <c r="D180" t="s">
        <v>60</v>
      </c>
      <c r="E180">
        <v>0</v>
      </c>
      <c r="F180">
        <f>IF(Manifest[[#This Row],[Segment]]=E179,F179+1,1)</f>
        <v>8</v>
      </c>
      <c r="G180" t="str">
        <f>"Ros_"&amp;Manifest[[#This Row],[Day]]&amp;"_"&amp;Manifest[[#This Row],[Segment]]&amp;"_"&amp;TEXT(Manifest[[#This Row],[Seq]],"00")</f>
        <v>Ros_Mie_0_08</v>
      </c>
    </row>
    <row r="181" spans="1:7" x14ac:dyDescent="0.25">
      <c r="A181" t="s">
        <v>12</v>
      </c>
      <c r="B181" t="str">
        <f>Manifest[[#This Row],[newID]]</f>
        <v>Ros_Mie_0_09</v>
      </c>
      <c r="C181" t="s">
        <v>4</v>
      </c>
      <c r="D181" t="s">
        <v>60</v>
      </c>
      <c r="E181">
        <v>0</v>
      </c>
      <c r="F181">
        <f>IF(Manifest[[#This Row],[Segment]]=E180,F180+1,1)</f>
        <v>9</v>
      </c>
      <c r="G181" t="str">
        <f>"Ros_"&amp;Manifest[[#This Row],[Day]]&amp;"_"&amp;Manifest[[#This Row],[Segment]]&amp;"_"&amp;TEXT(Manifest[[#This Row],[Seq]],"00")</f>
        <v>Ros_Mie_0_09</v>
      </c>
    </row>
    <row r="182" spans="1:7" x14ac:dyDescent="0.25">
      <c r="A182" t="s">
        <v>13</v>
      </c>
      <c r="B182" t="str">
        <f>Manifest[[#This Row],[newID]]</f>
        <v>Ros_Mie_0_10</v>
      </c>
      <c r="C182" t="s">
        <v>4</v>
      </c>
      <c r="D182" t="s">
        <v>60</v>
      </c>
      <c r="E182">
        <v>0</v>
      </c>
      <c r="F182">
        <f>IF(Manifest[[#This Row],[Segment]]=E181,F181+1,1)</f>
        <v>10</v>
      </c>
      <c r="G182" t="str">
        <f>"Ros_"&amp;Manifest[[#This Row],[Day]]&amp;"_"&amp;Manifest[[#This Row],[Segment]]&amp;"_"&amp;TEXT(Manifest[[#This Row],[Seq]],"00")</f>
        <v>Ros_Mie_0_10</v>
      </c>
    </row>
    <row r="183" spans="1:7" x14ac:dyDescent="0.25">
      <c r="A183" t="s">
        <v>39</v>
      </c>
      <c r="B183" t="str">
        <f>Manifest[[#This Row],[newID]]</f>
        <v>Ros_Mie_1_01</v>
      </c>
      <c r="C183" t="s">
        <v>4</v>
      </c>
      <c r="D183" t="s">
        <v>60</v>
      </c>
      <c r="E183">
        <v>1</v>
      </c>
      <c r="F183">
        <f>IF(Manifest[[#This Row],[Segment]]=E182,F182+1,1)</f>
        <v>1</v>
      </c>
      <c r="G183" t="str">
        <f>"Ros_"&amp;Manifest[[#This Row],[Day]]&amp;"_"&amp;Manifest[[#This Row],[Segment]]&amp;"_"&amp;TEXT(Manifest[[#This Row],[Seq]],"00")</f>
        <v>Ros_Mie_1_01</v>
      </c>
    </row>
    <row r="184" spans="1:7" x14ac:dyDescent="0.25">
      <c r="A184" t="s">
        <v>10</v>
      </c>
      <c r="B184" t="str">
        <f>Manifest[[#This Row],[newID]]</f>
        <v>Ros_Mie_1_02</v>
      </c>
      <c r="C184" t="s">
        <v>4</v>
      </c>
      <c r="D184" t="s">
        <v>60</v>
      </c>
      <c r="E184">
        <v>1</v>
      </c>
      <c r="F184">
        <f>IF(Manifest[[#This Row],[Segment]]=E183,F183+1,1)</f>
        <v>2</v>
      </c>
      <c r="G184" t="str">
        <f>"Ros_"&amp;Manifest[[#This Row],[Day]]&amp;"_"&amp;Manifest[[#This Row],[Segment]]&amp;"_"&amp;TEXT(Manifest[[#This Row],[Seq]],"00")</f>
        <v>Ros_Mie_1_02</v>
      </c>
    </row>
    <row r="185" spans="1:7" x14ac:dyDescent="0.25">
      <c r="A185" t="s">
        <v>11</v>
      </c>
      <c r="B185" t="str">
        <f>Manifest[[#This Row],[newID]]</f>
        <v>Ros_Mie_1_03</v>
      </c>
      <c r="C185" t="s">
        <v>4</v>
      </c>
      <c r="D185" t="s">
        <v>60</v>
      </c>
      <c r="E185">
        <v>1</v>
      </c>
      <c r="F185">
        <f>IF(Manifest[[#This Row],[Segment]]=E184,F184+1,1)</f>
        <v>3</v>
      </c>
      <c r="G185" t="str">
        <f>"Ros_"&amp;Manifest[[#This Row],[Day]]&amp;"_"&amp;Manifest[[#This Row],[Segment]]&amp;"_"&amp;TEXT(Manifest[[#This Row],[Seq]],"00")</f>
        <v>Ros_Mie_1_03</v>
      </c>
    </row>
    <row r="186" spans="1:7" x14ac:dyDescent="0.25">
      <c r="A186" t="s">
        <v>11</v>
      </c>
      <c r="B186" t="str">
        <f>Manifest[[#This Row],[newID]]</f>
        <v>Ros_Mie_1_04</v>
      </c>
      <c r="C186" t="s">
        <v>4</v>
      </c>
      <c r="D186" t="s">
        <v>60</v>
      </c>
      <c r="E186">
        <v>1</v>
      </c>
      <c r="F186">
        <f>IF(Manifest[[#This Row],[Segment]]=E185,F185+1,1)</f>
        <v>4</v>
      </c>
      <c r="G186" t="str">
        <f>"Ros_"&amp;Manifest[[#This Row],[Day]]&amp;"_"&amp;Manifest[[#This Row],[Segment]]&amp;"_"&amp;TEXT(Manifest[[#This Row],[Seq]],"00")</f>
        <v>Ros_Mie_1_04</v>
      </c>
    </row>
    <row r="187" spans="1:7" x14ac:dyDescent="0.25">
      <c r="A187" t="s">
        <v>11</v>
      </c>
      <c r="B187" t="str">
        <f>Manifest[[#This Row],[newID]]</f>
        <v>Ros_Mie_1_05</v>
      </c>
      <c r="C187" t="s">
        <v>4</v>
      </c>
      <c r="D187" t="s">
        <v>60</v>
      </c>
      <c r="E187">
        <v>1</v>
      </c>
      <c r="F187">
        <f>IF(Manifest[[#This Row],[Segment]]=E186,F186+1,1)</f>
        <v>5</v>
      </c>
      <c r="G187" t="str">
        <f>"Ros_"&amp;Manifest[[#This Row],[Day]]&amp;"_"&amp;Manifest[[#This Row],[Segment]]&amp;"_"&amp;TEXT(Manifest[[#This Row],[Seq]],"00")</f>
        <v>Ros_Mie_1_05</v>
      </c>
    </row>
    <row r="188" spans="1:7" x14ac:dyDescent="0.25">
      <c r="A188" t="s">
        <v>11</v>
      </c>
      <c r="B188" t="str">
        <f>Manifest[[#This Row],[newID]]</f>
        <v>Ros_Mie_1_06</v>
      </c>
      <c r="C188" t="s">
        <v>4</v>
      </c>
      <c r="D188" t="s">
        <v>60</v>
      </c>
      <c r="E188">
        <v>1</v>
      </c>
      <c r="F188">
        <f>IF(Manifest[[#This Row],[Segment]]=E187,F187+1,1)</f>
        <v>6</v>
      </c>
      <c r="G188" t="str">
        <f>"Ros_"&amp;Manifest[[#This Row],[Day]]&amp;"_"&amp;Manifest[[#This Row],[Segment]]&amp;"_"&amp;TEXT(Manifest[[#This Row],[Seq]],"00")</f>
        <v>Ros_Mie_1_06</v>
      </c>
    </row>
    <row r="189" spans="1:7" x14ac:dyDescent="0.25">
      <c r="A189" t="s">
        <v>11</v>
      </c>
      <c r="B189" t="str">
        <f>Manifest[[#This Row],[newID]]</f>
        <v>Ros_Mie_1_07</v>
      </c>
      <c r="C189" t="s">
        <v>4</v>
      </c>
      <c r="D189" t="s">
        <v>60</v>
      </c>
      <c r="E189">
        <v>1</v>
      </c>
      <c r="F189">
        <f>IF(Manifest[[#This Row],[Segment]]=E188,F188+1,1)</f>
        <v>7</v>
      </c>
      <c r="G189" t="str">
        <f>"Ros_"&amp;Manifest[[#This Row],[Day]]&amp;"_"&amp;Manifest[[#This Row],[Segment]]&amp;"_"&amp;TEXT(Manifest[[#This Row],[Seq]],"00")</f>
        <v>Ros_Mie_1_07</v>
      </c>
    </row>
    <row r="190" spans="1:7" x14ac:dyDescent="0.25">
      <c r="A190" t="s">
        <v>11</v>
      </c>
      <c r="B190" t="str">
        <f>Manifest[[#This Row],[newID]]</f>
        <v>Ros_Mie_1_08</v>
      </c>
      <c r="C190" t="s">
        <v>4</v>
      </c>
      <c r="D190" t="s">
        <v>60</v>
      </c>
      <c r="E190">
        <v>1</v>
      </c>
      <c r="F190">
        <f>IF(Manifest[[#This Row],[Segment]]=E189,F189+1,1)</f>
        <v>8</v>
      </c>
      <c r="G190" t="str">
        <f>"Ros_"&amp;Manifest[[#This Row],[Day]]&amp;"_"&amp;Manifest[[#This Row],[Segment]]&amp;"_"&amp;TEXT(Manifest[[#This Row],[Seq]],"00")</f>
        <v>Ros_Mie_1_08</v>
      </c>
    </row>
    <row r="191" spans="1:7" x14ac:dyDescent="0.25">
      <c r="A191" t="s">
        <v>11</v>
      </c>
      <c r="B191" t="str">
        <f>Manifest[[#This Row],[newID]]</f>
        <v>Ros_Mie_1_09</v>
      </c>
      <c r="C191" t="s">
        <v>4</v>
      </c>
      <c r="D191" t="s">
        <v>60</v>
      </c>
      <c r="E191">
        <v>1</v>
      </c>
      <c r="F191">
        <f>IF(Manifest[[#This Row],[Segment]]=E190,F190+1,1)</f>
        <v>9</v>
      </c>
      <c r="G191" t="str">
        <f>"Ros_"&amp;Manifest[[#This Row],[Day]]&amp;"_"&amp;Manifest[[#This Row],[Segment]]&amp;"_"&amp;TEXT(Manifest[[#This Row],[Seq]],"00")</f>
        <v>Ros_Mie_1_09</v>
      </c>
    </row>
    <row r="192" spans="1:7" x14ac:dyDescent="0.25">
      <c r="A192" t="s">
        <v>11</v>
      </c>
      <c r="B192" t="str">
        <f>Manifest[[#This Row],[newID]]</f>
        <v>Ros_Mie_1_10</v>
      </c>
      <c r="C192" t="s">
        <v>4</v>
      </c>
      <c r="D192" t="s">
        <v>60</v>
      </c>
      <c r="E192">
        <v>1</v>
      </c>
      <c r="F192">
        <f>IF(Manifest[[#This Row],[Segment]]=E191,F191+1,1)</f>
        <v>10</v>
      </c>
      <c r="G192" t="str">
        <f>"Ros_"&amp;Manifest[[#This Row],[Day]]&amp;"_"&amp;Manifest[[#This Row],[Segment]]&amp;"_"&amp;TEXT(Manifest[[#This Row],[Seq]],"00")</f>
        <v>Ros_Mie_1_10</v>
      </c>
    </row>
    <row r="193" spans="1:7" x14ac:dyDescent="0.25">
      <c r="A193" t="s">
        <v>11</v>
      </c>
      <c r="B193" t="str">
        <f>Manifest[[#This Row],[newID]]</f>
        <v>Ros_Mie_1_11</v>
      </c>
      <c r="C193" t="s">
        <v>4</v>
      </c>
      <c r="D193" t="s">
        <v>60</v>
      </c>
      <c r="E193">
        <v>1</v>
      </c>
      <c r="F193">
        <f>IF(Manifest[[#This Row],[Segment]]=E192,F192+1,1)</f>
        <v>11</v>
      </c>
      <c r="G193" t="str">
        <f>"Ros_"&amp;Manifest[[#This Row],[Day]]&amp;"_"&amp;Manifest[[#This Row],[Segment]]&amp;"_"&amp;TEXT(Manifest[[#This Row],[Seq]],"00")</f>
        <v>Ros_Mie_1_11</v>
      </c>
    </row>
    <row r="194" spans="1:7" x14ac:dyDescent="0.25">
      <c r="A194" t="s">
        <v>11</v>
      </c>
      <c r="B194" t="str">
        <f>Manifest[[#This Row],[newID]]</f>
        <v>Ros_Mie_1_12</v>
      </c>
      <c r="C194" t="s">
        <v>4</v>
      </c>
      <c r="D194" t="s">
        <v>60</v>
      </c>
      <c r="E194">
        <v>1</v>
      </c>
      <c r="F194">
        <f>IF(Manifest[[#This Row],[Segment]]=E193,F193+1,1)</f>
        <v>12</v>
      </c>
      <c r="G194" t="str">
        <f>"Ros_"&amp;Manifest[[#This Row],[Day]]&amp;"_"&amp;Manifest[[#This Row],[Segment]]&amp;"_"&amp;TEXT(Manifest[[#This Row],[Seq]],"00")</f>
        <v>Ros_Mie_1_12</v>
      </c>
    </row>
    <row r="195" spans="1:7" x14ac:dyDescent="0.25">
      <c r="A195" t="s">
        <v>12</v>
      </c>
      <c r="B195" t="str">
        <f>Manifest[[#This Row],[newID]]</f>
        <v>Ros_Mie_1_13</v>
      </c>
      <c r="C195" t="s">
        <v>4</v>
      </c>
      <c r="D195" t="s">
        <v>60</v>
      </c>
      <c r="E195">
        <v>1</v>
      </c>
      <c r="F195">
        <f>IF(Manifest[[#This Row],[Segment]]=E194,F194+1,1)</f>
        <v>13</v>
      </c>
      <c r="G195" t="str">
        <f>"Ros_"&amp;Manifest[[#This Row],[Day]]&amp;"_"&amp;Manifest[[#This Row],[Segment]]&amp;"_"&amp;TEXT(Manifest[[#This Row],[Seq]],"00")</f>
        <v>Ros_Mie_1_13</v>
      </c>
    </row>
    <row r="196" spans="1:7" x14ac:dyDescent="0.25">
      <c r="A196" t="s">
        <v>15</v>
      </c>
      <c r="B196" t="str">
        <f>Manifest[[#This Row],[newID]]</f>
        <v>Ros_Mie_1_14</v>
      </c>
      <c r="C196" t="s">
        <v>4</v>
      </c>
      <c r="D196" t="s">
        <v>60</v>
      </c>
      <c r="E196">
        <v>1</v>
      </c>
      <c r="F196">
        <f>IF(Manifest[[#This Row],[Segment]]=E195,F195+1,1)</f>
        <v>14</v>
      </c>
      <c r="G196" t="str">
        <f>"Ros_"&amp;Manifest[[#This Row],[Day]]&amp;"_"&amp;Manifest[[#This Row],[Segment]]&amp;"_"&amp;TEXT(Manifest[[#This Row],[Seq]],"00")</f>
        <v>Ros_Mie_1_14</v>
      </c>
    </row>
    <row r="197" spans="1:7" x14ac:dyDescent="0.25">
      <c r="A197" t="s">
        <v>40</v>
      </c>
      <c r="B197" t="str">
        <f>Manifest[[#This Row],[newID]]</f>
        <v>Ros_Mie_2_01</v>
      </c>
      <c r="C197" t="s">
        <v>4</v>
      </c>
      <c r="D197" t="s">
        <v>60</v>
      </c>
      <c r="E197">
        <v>2</v>
      </c>
      <c r="F197">
        <f>IF(Manifest[[#This Row],[Segment]]=E196,F196+1,1)</f>
        <v>1</v>
      </c>
      <c r="G197" t="str">
        <f>"Ros_"&amp;Manifest[[#This Row],[Day]]&amp;"_"&amp;Manifest[[#This Row],[Segment]]&amp;"_"&amp;TEXT(Manifest[[#This Row],[Seq]],"00")</f>
        <v>Ros_Mie_2_01</v>
      </c>
    </row>
    <row r="198" spans="1:7" x14ac:dyDescent="0.25">
      <c r="A198" t="s">
        <v>10</v>
      </c>
      <c r="B198" t="str">
        <f>Manifest[[#This Row],[newID]]</f>
        <v>Ros_Mie_2_02</v>
      </c>
      <c r="C198" t="s">
        <v>4</v>
      </c>
      <c r="D198" t="s">
        <v>60</v>
      </c>
      <c r="E198">
        <v>2</v>
      </c>
      <c r="F198">
        <f>IF(Manifest[[#This Row],[Segment]]=E197,F197+1,1)</f>
        <v>2</v>
      </c>
      <c r="G198" t="str">
        <f>"Ros_"&amp;Manifest[[#This Row],[Day]]&amp;"_"&amp;Manifest[[#This Row],[Segment]]&amp;"_"&amp;TEXT(Manifest[[#This Row],[Seq]],"00")</f>
        <v>Ros_Mie_2_02</v>
      </c>
    </row>
    <row r="199" spans="1:7" x14ac:dyDescent="0.25">
      <c r="A199" t="s">
        <v>11</v>
      </c>
      <c r="B199" t="str">
        <f>Manifest[[#This Row],[newID]]</f>
        <v>Ros_Mie_2_03</v>
      </c>
      <c r="C199" t="s">
        <v>4</v>
      </c>
      <c r="D199" t="s">
        <v>60</v>
      </c>
      <c r="E199">
        <v>2</v>
      </c>
      <c r="F199">
        <f>IF(Manifest[[#This Row],[Segment]]=E198,F198+1,1)</f>
        <v>3</v>
      </c>
      <c r="G199" t="str">
        <f>"Ros_"&amp;Manifest[[#This Row],[Day]]&amp;"_"&amp;Manifest[[#This Row],[Segment]]&amp;"_"&amp;TEXT(Manifest[[#This Row],[Seq]],"00")</f>
        <v>Ros_Mie_2_03</v>
      </c>
    </row>
    <row r="200" spans="1:7" x14ac:dyDescent="0.25">
      <c r="A200" t="s">
        <v>11</v>
      </c>
      <c r="B200" t="str">
        <f>Manifest[[#This Row],[newID]]</f>
        <v>Ros_Mie_2_04</v>
      </c>
      <c r="C200" t="s">
        <v>4</v>
      </c>
      <c r="D200" t="s">
        <v>60</v>
      </c>
      <c r="E200">
        <v>2</v>
      </c>
      <c r="F200">
        <f>IF(Manifest[[#This Row],[Segment]]=E199,F199+1,1)</f>
        <v>4</v>
      </c>
      <c r="G200" t="str">
        <f>"Ros_"&amp;Manifest[[#This Row],[Day]]&amp;"_"&amp;Manifest[[#This Row],[Segment]]&amp;"_"&amp;TEXT(Manifest[[#This Row],[Seq]],"00")</f>
        <v>Ros_Mie_2_04</v>
      </c>
    </row>
    <row r="201" spans="1:7" x14ac:dyDescent="0.25">
      <c r="A201" t="s">
        <v>11</v>
      </c>
      <c r="B201" t="str">
        <f>Manifest[[#This Row],[newID]]</f>
        <v>Ros_Mie_2_05</v>
      </c>
      <c r="C201" t="s">
        <v>4</v>
      </c>
      <c r="D201" t="s">
        <v>60</v>
      </c>
      <c r="E201">
        <v>2</v>
      </c>
      <c r="F201">
        <f>IF(Manifest[[#This Row],[Segment]]=E200,F200+1,1)</f>
        <v>5</v>
      </c>
      <c r="G201" t="str">
        <f>"Ros_"&amp;Manifest[[#This Row],[Day]]&amp;"_"&amp;Manifest[[#This Row],[Segment]]&amp;"_"&amp;TEXT(Manifest[[#This Row],[Seq]],"00")</f>
        <v>Ros_Mie_2_05</v>
      </c>
    </row>
    <row r="202" spans="1:7" x14ac:dyDescent="0.25">
      <c r="A202" t="s">
        <v>11</v>
      </c>
      <c r="B202" t="str">
        <f>Manifest[[#This Row],[newID]]</f>
        <v>Ros_Mie_2_06</v>
      </c>
      <c r="C202" t="s">
        <v>4</v>
      </c>
      <c r="D202" t="s">
        <v>60</v>
      </c>
      <c r="E202">
        <v>2</v>
      </c>
      <c r="F202">
        <f>IF(Manifest[[#This Row],[Segment]]=E201,F201+1,1)</f>
        <v>6</v>
      </c>
      <c r="G202" t="str">
        <f>"Ros_"&amp;Manifest[[#This Row],[Day]]&amp;"_"&amp;Manifest[[#This Row],[Segment]]&amp;"_"&amp;TEXT(Manifest[[#This Row],[Seq]],"00")</f>
        <v>Ros_Mie_2_06</v>
      </c>
    </row>
    <row r="203" spans="1:7" x14ac:dyDescent="0.25">
      <c r="A203" t="s">
        <v>11</v>
      </c>
      <c r="B203" t="str">
        <f>Manifest[[#This Row],[newID]]</f>
        <v>Ros_Mie_2_07</v>
      </c>
      <c r="C203" t="s">
        <v>4</v>
      </c>
      <c r="D203" t="s">
        <v>60</v>
      </c>
      <c r="E203">
        <v>2</v>
      </c>
      <c r="F203">
        <f>IF(Manifest[[#This Row],[Segment]]=E202,F202+1,1)</f>
        <v>7</v>
      </c>
      <c r="G203" t="str">
        <f>"Ros_"&amp;Manifest[[#This Row],[Day]]&amp;"_"&amp;Manifest[[#This Row],[Segment]]&amp;"_"&amp;TEXT(Manifest[[#This Row],[Seq]],"00")</f>
        <v>Ros_Mie_2_07</v>
      </c>
    </row>
    <row r="204" spans="1:7" x14ac:dyDescent="0.25">
      <c r="A204" t="s">
        <v>11</v>
      </c>
      <c r="B204" t="str">
        <f>Manifest[[#This Row],[newID]]</f>
        <v>Ros_Mie_2_08</v>
      </c>
      <c r="C204" t="s">
        <v>4</v>
      </c>
      <c r="D204" t="s">
        <v>60</v>
      </c>
      <c r="E204">
        <v>2</v>
      </c>
      <c r="F204">
        <f>IF(Manifest[[#This Row],[Segment]]=E203,F203+1,1)</f>
        <v>8</v>
      </c>
      <c r="G204" t="str">
        <f>"Ros_"&amp;Manifest[[#This Row],[Day]]&amp;"_"&amp;Manifest[[#This Row],[Segment]]&amp;"_"&amp;TEXT(Manifest[[#This Row],[Seq]],"00")</f>
        <v>Ros_Mie_2_08</v>
      </c>
    </row>
    <row r="205" spans="1:7" x14ac:dyDescent="0.25">
      <c r="A205" t="s">
        <v>11</v>
      </c>
      <c r="B205" t="str">
        <f>Manifest[[#This Row],[newID]]</f>
        <v>Ros_Mie_2_09</v>
      </c>
      <c r="C205" t="s">
        <v>4</v>
      </c>
      <c r="D205" t="s">
        <v>60</v>
      </c>
      <c r="E205">
        <v>2</v>
      </c>
      <c r="F205">
        <f>IF(Manifest[[#This Row],[Segment]]=E204,F204+1,1)</f>
        <v>9</v>
      </c>
      <c r="G205" t="str">
        <f>"Ros_"&amp;Manifest[[#This Row],[Day]]&amp;"_"&amp;Manifest[[#This Row],[Segment]]&amp;"_"&amp;TEXT(Manifest[[#This Row],[Seq]],"00")</f>
        <v>Ros_Mie_2_09</v>
      </c>
    </row>
    <row r="206" spans="1:7" x14ac:dyDescent="0.25">
      <c r="A206" t="s">
        <v>11</v>
      </c>
      <c r="B206" t="str">
        <f>Manifest[[#This Row],[newID]]</f>
        <v>Ros_Mie_2_10</v>
      </c>
      <c r="C206" t="s">
        <v>4</v>
      </c>
      <c r="D206" t="s">
        <v>60</v>
      </c>
      <c r="E206">
        <v>2</v>
      </c>
      <c r="F206">
        <f>IF(Manifest[[#This Row],[Segment]]=E205,F205+1,1)</f>
        <v>10</v>
      </c>
      <c r="G206" t="str">
        <f>"Ros_"&amp;Manifest[[#This Row],[Day]]&amp;"_"&amp;Manifest[[#This Row],[Segment]]&amp;"_"&amp;TEXT(Manifest[[#This Row],[Seq]],"00")</f>
        <v>Ros_Mie_2_10</v>
      </c>
    </row>
    <row r="207" spans="1:7" x14ac:dyDescent="0.25">
      <c r="A207" t="s">
        <v>11</v>
      </c>
      <c r="B207" t="str">
        <f>Manifest[[#This Row],[newID]]</f>
        <v>Ros_Mie_2_11</v>
      </c>
      <c r="C207" t="s">
        <v>4</v>
      </c>
      <c r="D207" t="s">
        <v>60</v>
      </c>
      <c r="E207">
        <v>2</v>
      </c>
      <c r="F207">
        <f>IF(Manifest[[#This Row],[Segment]]=E206,F206+1,1)</f>
        <v>11</v>
      </c>
      <c r="G207" t="str">
        <f>"Ros_"&amp;Manifest[[#This Row],[Day]]&amp;"_"&amp;Manifest[[#This Row],[Segment]]&amp;"_"&amp;TEXT(Manifest[[#This Row],[Seq]],"00")</f>
        <v>Ros_Mie_2_11</v>
      </c>
    </row>
    <row r="208" spans="1:7" x14ac:dyDescent="0.25">
      <c r="A208" t="s">
        <v>11</v>
      </c>
      <c r="B208" t="str">
        <f>Manifest[[#This Row],[newID]]</f>
        <v>Ros_Mie_2_12</v>
      </c>
      <c r="C208" t="s">
        <v>4</v>
      </c>
      <c r="D208" t="s">
        <v>60</v>
      </c>
      <c r="E208">
        <v>2</v>
      </c>
      <c r="F208">
        <f>IF(Manifest[[#This Row],[Segment]]=E207,F207+1,1)</f>
        <v>12</v>
      </c>
      <c r="G208" t="str">
        <f>"Ros_"&amp;Manifest[[#This Row],[Day]]&amp;"_"&amp;Manifest[[#This Row],[Segment]]&amp;"_"&amp;TEXT(Manifest[[#This Row],[Seq]],"00")</f>
        <v>Ros_Mie_2_12</v>
      </c>
    </row>
    <row r="209" spans="1:7" x14ac:dyDescent="0.25">
      <c r="A209" t="s">
        <v>12</v>
      </c>
      <c r="B209" t="str">
        <f>Manifest[[#This Row],[newID]]</f>
        <v>Ros_Mie_2_13</v>
      </c>
      <c r="C209" t="s">
        <v>4</v>
      </c>
      <c r="D209" t="s">
        <v>60</v>
      </c>
      <c r="E209">
        <v>2</v>
      </c>
      <c r="F209">
        <f>IF(Manifest[[#This Row],[Segment]]=E208,F208+1,1)</f>
        <v>13</v>
      </c>
      <c r="G209" t="str">
        <f>"Ros_"&amp;Manifest[[#This Row],[Day]]&amp;"_"&amp;Manifest[[#This Row],[Segment]]&amp;"_"&amp;TEXT(Manifest[[#This Row],[Seq]],"00")</f>
        <v>Ros_Mie_2_13</v>
      </c>
    </row>
    <row r="210" spans="1:7" x14ac:dyDescent="0.25">
      <c r="A210" t="s">
        <v>15</v>
      </c>
      <c r="B210" t="str">
        <f>Manifest[[#This Row],[newID]]</f>
        <v>Ros_Mie_2_14</v>
      </c>
      <c r="C210" t="s">
        <v>4</v>
      </c>
      <c r="D210" t="s">
        <v>60</v>
      </c>
      <c r="E210">
        <v>2</v>
      </c>
      <c r="F210">
        <f>IF(Manifest[[#This Row],[Segment]]=E209,F209+1,1)</f>
        <v>14</v>
      </c>
      <c r="G210" t="str">
        <f>"Ros_"&amp;Manifest[[#This Row],[Day]]&amp;"_"&amp;Manifest[[#This Row],[Segment]]&amp;"_"&amp;TEXT(Manifest[[#This Row],[Seq]],"00")</f>
        <v>Ros_Mie_2_14</v>
      </c>
    </row>
    <row r="211" spans="1:7" x14ac:dyDescent="0.25">
      <c r="A211" t="s">
        <v>41</v>
      </c>
      <c r="B211" t="str">
        <f>Manifest[[#This Row],[newID]]</f>
        <v>Ros_Mie_3_01</v>
      </c>
      <c r="C211" t="s">
        <v>4</v>
      </c>
      <c r="D211" t="s">
        <v>60</v>
      </c>
      <c r="E211">
        <v>3</v>
      </c>
      <c r="F211">
        <f>IF(Manifest[[#This Row],[Segment]]=E210,F210+1,1)</f>
        <v>1</v>
      </c>
      <c r="G211" t="str">
        <f>"Ros_"&amp;Manifest[[#This Row],[Day]]&amp;"_"&amp;Manifest[[#This Row],[Segment]]&amp;"_"&amp;TEXT(Manifest[[#This Row],[Seq]],"00")</f>
        <v>Ros_Mie_3_01</v>
      </c>
    </row>
    <row r="212" spans="1:7" x14ac:dyDescent="0.25">
      <c r="A212" t="s">
        <v>10</v>
      </c>
      <c r="B212" t="str">
        <f>Manifest[[#This Row],[newID]]</f>
        <v>Ros_Mie_3_02</v>
      </c>
      <c r="C212" t="s">
        <v>4</v>
      </c>
      <c r="D212" t="s">
        <v>60</v>
      </c>
      <c r="E212">
        <v>3</v>
      </c>
      <c r="F212">
        <f>IF(Manifest[[#This Row],[Segment]]=E211,F211+1,1)</f>
        <v>2</v>
      </c>
      <c r="G212" t="str">
        <f>"Ros_"&amp;Manifest[[#This Row],[Day]]&amp;"_"&amp;Manifest[[#This Row],[Segment]]&amp;"_"&amp;TEXT(Manifest[[#This Row],[Seq]],"00")</f>
        <v>Ros_Mie_3_02</v>
      </c>
    </row>
    <row r="213" spans="1:7" x14ac:dyDescent="0.25">
      <c r="A213" t="s">
        <v>11</v>
      </c>
      <c r="B213" t="str">
        <f>Manifest[[#This Row],[newID]]</f>
        <v>Ros_Mie_3_03</v>
      </c>
      <c r="C213" t="s">
        <v>4</v>
      </c>
      <c r="D213" t="s">
        <v>60</v>
      </c>
      <c r="E213">
        <v>3</v>
      </c>
      <c r="F213">
        <f>IF(Manifest[[#This Row],[Segment]]=E212,F212+1,1)</f>
        <v>3</v>
      </c>
      <c r="G213" t="str">
        <f>"Ros_"&amp;Manifest[[#This Row],[Day]]&amp;"_"&amp;Manifest[[#This Row],[Segment]]&amp;"_"&amp;TEXT(Manifest[[#This Row],[Seq]],"00")</f>
        <v>Ros_Mie_3_03</v>
      </c>
    </row>
    <row r="214" spans="1:7" x14ac:dyDescent="0.25">
      <c r="A214" t="s">
        <v>11</v>
      </c>
      <c r="B214" t="str">
        <f>Manifest[[#This Row],[newID]]</f>
        <v>Ros_Mie_3_04</v>
      </c>
      <c r="C214" t="s">
        <v>4</v>
      </c>
      <c r="D214" t="s">
        <v>60</v>
      </c>
      <c r="E214">
        <v>3</v>
      </c>
      <c r="F214">
        <f>IF(Manifest[[#This Row],[Segment]]=E213,F213+1,1)</f>
        <v>4</v>
      </c>
      <c r="G214" t="str">
        <f>"Ros_"&amp;Manifest[[#This Row],[Day]]&amp;"_"&amp;Manifest[[#This Row],[Segment]]&amp;"_"&amp;TEXT(Manifest[[#This Row],[Seq]],"00")</f>
        <v>Ros_Mie_3_04</v>
      </c>
    </row>
    <row r="215" spans="1:7" x14ac:dyDescent="0.25">
      <c r="A215" t="s">
        <v>11</v>
      </c>
      <c r="B215" t="str">
        <f>Manifest[[#This Row],[newID]]</f>
        <v>Ros_Mie_3_05</v>
      </c>
      <c r="C215" t="s">
        <v>4</v>
      </c>
      <c r="D215" t="s">
        <v>60</v>
      </c>
      <c r="E215">
        <v>3</v>
      </c>
      <c r="F215">
        <f>IF(Manifest[[#This Row],[Segment]]=E214,F214+1,1)</f>
        <v>5</v>
      </c>
      <c r="G215" t="str">
        <f>"Ros_"&amp;Manifest[[#This Row],[Day]]&amp;"_"&amp;Manifest[[#This Row],[Segment]]&amp;"_"&amp;TEXT(Manifest[[#This Row],[Seq]],"00")</f>
        <v>Ros_Mie_3_05</v>
      </c>
    </row>
    <row r="216" spans="1:7" x14ac:dyDescent="0.25">
      <c r="A216" t="s">
        <v>11</v>
      </c>
      <c r="B216" t="str">
        <f>Manifest[[#This Row],[newID]]</f>
        <v>Ros_Mie_3_06</v>
      </c>
      <c r="C216" t="s">
        <v>4</v>
      </c>
      <c r="D216" t="s">
        <v>60</v>
      </c>
      <c r="E216">
        <v>3</v>
      </c>
      <c r="F216">
        <f>IF(Manifest[[#This Row],[Segment]]=E215,F215+1,1)</f>
        <v>6</v>
      </c>
      <c r="G216" t="str">
        <f>"Ros_"&amp;Manifest[[#This Row],[Day]]&amp;"_"&amp;Manifest[[#This Row],[Segment]]&amp;"_"&amp;TEXT(Manifest[[#This Row],[Seq]],"00")</f>
        <v>Ros_Mie_3_06</v>
      </c>
    </row>
    <row r="217" spans="1:7" x14ac:dyDescent="0.25">
      <c r="A217" t="s">
        <v>11</v>
      </c>
      <c r="B217" t="str">
        <f>Manifest[[#This Row],[newID]]</f>
        <v>Ros_Mie_3_07</v>
      </c>
      <c r="C217" t="s">
        <v>4</v>
      </c>
      <c r="D217" t="s">
        <v>60</v>
      </c>
      <c r="E217">
        <v>3</v>
      </c>
      <c r="F217">
        <f>IF(Manifest[[#This Row],[Segment]]=E216,F216+1,1)</f>
        <v>7</v>
      </c>
      <c r="G217" t="str">
        <f>"Ros_"&amp;Manifest[[#This Row],[Day]]&amp;"_"&amp;Manifest[[#This Row],[Segment]]&amp;"_"&amp;TEXT(Manifest[[#This Row],[Seq]],"00")</f>
        <v>Ros_Mie_3_07</v>
      </c>
    </row>
    <row r="218" spans="1:7" x14ac:dyDescent="0.25">
      <c r="A218" t="s">
        <v>11</v>
      </c>
      <c r="B218" t="str">
        <f>Manifest[[#This Row],[newID]]</f>
        <v>Ros_Mie_3_08</v>
      </c>
      <c r="C218" t="s">
        <v>4</v>
      </c>
      <c r="D218" t="s">
        <v>60</v>
      </c>
      <c r="E218">
        <v>3</v>
      </c>
      <c r="F218">
        <f>IF(Manifest[[#This Row],[Segment]]=E217,F217+1,1)</f>
        <v>8</v>
      </c>
      <c r="G218" t="str">
        <f>"Ros_"&amp;Manifest[[#This Row],[Day]]&amp;"_"&amp;Manifest[[#This Row],[Segment]]&amp;"_"&amp;TEXT(Manifest[[#This Row],[Seq]],"00")</f>
        <v>Ros_Mie_3_08</v>
      </c>
    </row>
    <row r="219" spans="1:7" x14ac:dyDescent="0.25">
      <c r="A219" t="s">
        <v>11</v>
      </c>
      <c r="B219" t="str">
        <f>Manifest[[#This Row],[newID]]</f>
        <v>Ros_Mie_3_09</v>
      </c>
      <c r="C219" t="s">
        <v>4</v>
      </c>
      <c r="D219" t="s">
        <v>60</v>
      </c>
      <c r="E219">
        <v>3</v>
      </c>
      <c r="F219">
        <f>IF(Manifest[[#This Row],[Segment]]=E218,F218+1,1)</f>
        <v>9</v>
      </c>
      <c r="G219" t="str">
        <f>"Ros_"&amp;Manifest[[#This Row],[Day]]&amp;"_"&amp;Manifest[[#This Row],[Segment]]&amp;"_"&amp;TEXT(Manifest[[#This Row],[Seq]],"00")</f>
        <v>Ros_Mie_3_09</v>
      </c>
    </row>
    <row r="220" spans="1:7" x14ac:dyDescent="0.25">
      <c r="A220" t="s">
        <v>11</v>
      </c>
      <c r="B220" t="str">
        <f>Manifest[[#This Row],[newID]]</f>
        <v>Ros_Mie_3_10</v>
      </c>
      <c r="C220" t="s">
        <v>4</v>
      </c>
      <c r="D220" t="s">
        <v>60</v>
      </c>
      <c r="E220">
        <v>3</v>
      </c>
      <c r="F220">
        <f>IF(Manifest[[#This Row],[Segment]]=E219,F219+1,1)</f>
        <v>10</v>
      </c>
      <c r="G220" t="str">
        <f>"Ros_"&amp;Manifest[[#This Row],[Day]]&amp;"_"&amp;Manifest[[#This Row],[Segment]]&amp;"_"&amp;TEXT(Manifest[[#This Row],[Seq]],"00")</f>
        <v>Ros_Mie_3_10</v>
      </c>
    </row>
    <row r="221" spans="1:7" x14ac:dyDescent="0.25">
      <c r="A221" t="s">
        <v>11</v>
      </c>
      <c r="B221" t="str">
        <f>Manifest[[#This Row],[newID]]</f>
        <v>Ros_Mie_3_11</v>
      </c>
      <c r="C221" t="s">
        <v>4</v>
      </c>
      <c r="D221" t="s">
        <v>60</v>
      </c>
      <c r="E221">
        <v>3</v>
      </c>
      <c r="F221">
        <f>IF(Manifest[[#This Row],[Segment]]=E220,F220+1,1)</f>
        <v>11</v>
      </c>
      <c r="G221" t="str">
        <f>"Ros_"&amp;Manifest[[#This Row],[Day]]&amp;"_"&amp;Manifest[[#This Row],[Segment]]&amp;"_"&amp;TEXT(Manifest[[#This Row],[Seq]],"00")</f>
        <v>Ros_Mie_3_11</v>
      </c>
    </row>
    <row r="222" spans="1:7" x14ac:dyDescent="0.25">
      <c r="A222" t="s">
        <v>11</v>
      </c>
      <c r="B222" t="str">
        <f>Manifest[[#This Row],[newID]]</f>
        <v>Ros_Mie_3_12</v>
      </c>
      <c r="C222" t="s">
        <v>4</v>
      </c>
      <c r="D222" t="s">
        <v>60</v>
      </c>
      <c r="E222">
        <v>3</v>
      </c>
      <c r="F222">
        <f>IF(Manifest[[#This Row],[Segment]]=E221,F221+1,1)</f>
        <v>12</v>
      </c>
      <c r="G222" t="str">
        <f>"Ros_"&amp;Manifest[[#This Row],[Day]]&amp;"_"&amp;Manifest[[#This Row],[Segment]]&amp;"_"&amp;TEXT(Manifest[[#This Row],[Seq]],"00")</f>
        <v>Ros_Mie_3_12</v>
      </c>
    </row>
    <row r="223" spans="1:7" x14ac:dyDescent="0.25">
      <c r="A223" t="s">
        <v>12</v>
      </c>
      <c r="B223" t="str">
        <f>Manifest[[#This Row],[newID]]</f>
        <v>Ros_Mie_3_13</v>
      </c>
      <c r="C223" t="s">
        <v>4</v>
      </c>
      <c r="D223" t="s">
        <v>60</v>
      </c>
      <c r="E223">
        <v>3</v>
      </c>
      <c r="F223">
        <f>IF(Manifest[[#This Row],[Segment]]=E222,F222+1,1)</f>
        <v>13</v>
      </c>
      <c r="G223" t="str">
        <f>"Ros_"&amp;Manifest[[#This Row],[Day]]&amp;"_"&amp;Manifest[[#This Row],[Segment]]&amp;"_"&amp;TEXT(Manifest[[#This Row],[Seq]],"00")</f>
        <v>Ros_Mie_3_13</v>
      </c>
    </row>
    <row r="224" spans="1:7" x14ac:dyDescent="0.25">
      <c r="A224" t="s">
        <v>15</v>
      </c>
      <c r="B224" t="str">
        <f>Manifest[[#This Row],[newID]]</f>
        <v>Ros_Mie_3_14</v>
      </c>
      <c r="C224" t="s">
        <v>4</v>
      </c>
      <c r="D224" t="s">
        <v>60</v>
      </c>
      <c r="E224">
        <v>3</v>
      </c>
      <c r="F224">
        <f>IF(Manifest[[#This Row],[Segment]]=E223,F223+1,1)</f>
        <v>14</v>
      </c>
      <c r="G224" t="str">
        <f>"Ros_"&amp;Manifest[[#This Row],[Day]]&amp;"_"&amp;Manifest[[#This Row],[Segment]]&amp;"_"&amp;TEXT(Manifest[[#This Row],[Seq]],"00")</f>
        <v>Ros_Mie_3_14</v>
      </c>
    </row>
    <row r="225" spans="1:7" x14ac:dyDescent="0.25">
      <c r="A225" t="s">
        <v>42</v>
      </c>
      <c r="B225" t="str">
        <f>Manifest[[#This Row],[newID]]</f>
        <v>Ros_Mie_4_01</v>
      </c>
      <c r="C225" t="s">
        <v>4</v>
      </c>
      <c r="D225" t="s">
        <v>60</v>
      </c>
      <c r="E225">
        <v>4</v>
      </c>
      <c r="F225">
        <f>IF(Manifest[[#This Row],[Segment]]=E224,F224+1,1)</f>
        <v>1</v>
      </c>
      <c r="G225" t="str">
        <f>"Ros_"&amp;Manifest[[#This Row],[Day]]&amp;"_"&amp;Manifest[[#This Row],[Segment]]&amp;"_"&amp;TEXT(Manifest[[#This Row],[Seq]],"00")</f>
        <v>Ros_Mie_4_01</v>
      </c>
    </row>
    <row r="226" spans="1:7" x14ac:dyDescent="0.25">
      <c r="A226" t="s">
        <v>10</v>
      </c>
      <c r="B226" t="str">
        <f>Manifest[[#This Row],[newID]]</f>
        <v>Ros_Mie_4_02</v>
      </c>
      <c r="C226" t="s">
        <v>4</v>
      </c>
      <c r="D226" t="s">
        <v>60</v>
      </c>
      <c r="E226">
        <v>4</v>
      </c>
      <c r="F226">
        <f>IF(Manifest[[#This Row],[Segment]]=E225,F225+1,1)</f>
        <v>2</v>
      </c>
      <c r="G226" t="str">
        <f>"Ros_"&amp;Manifest[[#This Row],[Day]]&amp;"_"&amp;Manifest[[#This Row],[Segment]]&amp;"_"&amp;TEXT(Manifest[[#This Row],[Seq]],"00")</f>
        <v>Ros_Mie_4_02</v>
      </c>
    </row>
    <row r="227" spans="1:7" x14ac:dyDescent="0.25">
      <c r="A227" t="s">
        <v>11</v>
      </c>
      <c r="B227" t="str">
        <f>Manifest[[#This Row],[newID]]</f>
        <v>Ros_Mie_4_03</v>
      </c>
      <c r="C227" t="s">
        <v>4</v>
      </c>
      <c r="D227" t="s">
        <v>60</v>
      </c>
      <c r="E227">
        <v>4</v>
      </c>
      <c r="F227">
        <f>IF(Manifest[[#This Row],[Segment]]=E226,F226+1,1)</f>
        <v>3</v>
      </c>
      <c r="G227" t="str">
        <f>"Ros_"&amp;Manifest[[#This Row],[Day]]&amp;"_"&amp;Manifest[[#This Row],[Segment]]&amp;"_"&amp;TEXT(Manifest[[#This Row],[Seq]],"00")</f>
        <v>Ros_Mie_4_03</v>
      </c>
    </row>
    <row r="228" spans="1:7" x14ac:dyDescent="0.25">
      <c r="A228" t="s">
        <v>11</v>
      </c>
      <c r="B228" t="str">
        <f>Manifest[[#This Row],[newID]]</f>
        <v>Ros_Mie_4_04</v>
      </c>
      <c r="C228" t="s">
        <v>4</v>
      </c>
      <c r="D228" t="s">
        <v>60</v>
      </c>
      <c r="E228">
        <v>4</v>
      </c>
      <c r="F228">
        <f>IF(Manifest[[#This Row],[Segment]]=E227,F227+1,1)</f>
        <v>4</v>
      </c>
      <c r="G228" t="str">
        <f>"Ros_"&amp;Manifest[[#This Row],[Day]]&amp;"_"&amp;Manifest[[#This Row],[Segment]]&amp;"_"&amp;TEXT(Manifest[[#This Row],[Seq]],"00")</f>
        <v>Ros_Mie_4_04</v>
      </c>
    </row>
    <row r="229" spans="1:7" x14ac:dyDescent="0.25">
      <c r="A229" t="s">
        <v>11</v>
      </c>
      <c r="B229" t="str">
        <f>Manifest[[#This Row],[newID]]</f>
        <v>Ros_Mie_4_05</v>
      </c>
      <c r="C229" t="s">
        <v>4</v>
      </c>
      <c r="D229" t="s">
        <v>60</v>
      </c>
      <c r="E229">
        <v>4</v>
      </c>
      <c r="F229">
        <f>IF(Manifest[[#This Row],[Segment]]=E228,F228+1,1)</f>
        <v>5</v>
      </c>
      <c r="G229" t="str">
        <f>"Ros_"&amp;Manifest[[#This Row],[Day]]&amp;"_"&amp;Manifest[[#This Row],[Segment]]&amp;"_"&amp;TEXT(Manifest[[#This Row],[Seq]],"00")</f>
        <v>Ros_Mie_4_05</v>
      </c>
    </row>
    <row r="230" spans="1:7" x14ac:dyDescent="0.25">
      <c r="A230" t="s">
        <v>11</v>
      </c>
      <c r="B230" t="str">
        <f>Manifest[[#This Row],[newID]]</f>
        <v>Ros_Mie_4_06</v>
      </c>
      <c r="C230" t="s">
        <v>4</v>
      </c>
      <c r="D230" t="s">
        <v>60</v>
      </c>
      <c r="E230">
        <v>4</v>
      </c>
      <c r="F230">
        <f>IF(Manifest[[#This Row],[Segment]]=E229,F229+1,1)</f>
        <v>6</v>
      </c>
      <c r="G230" t="str">
        <f>"Ros_"&amp;Manifest[[#This Row],[Day]]&amp;"_"&amp;Manifest[[#This Row],[Segment]]&amp;"_"&amp;TEXT(Manifest[[#This Row],[Seq]],"00")</f>
        <v>Ros_Mie_4_06</v>
      </c>
    </row>
    <row r="231" spans="1:7" x14ac:dyDescent="0.25">
      <c r="A231" t="s">
        <v>11</v>
      </c>
      <c r="B231" t="str">
        <f>Manifest[[#This Row],[newID]]</f>
        <v>Ros_Mie_4_07</v>
      </c>
      <c r="C231" t="s">
        <v>4</v>
      </c>
      <c r="D231" t="s">
        <v>60</v>
      </c>
      <c r="E231">
        <v>4</v>
      </c>
      <c r="F231">
        <f>IF(Manifest[[#This Row],[Segment]]=E230,F230+1,1)</f>
        <v>7</v>
      </c>
      <c r="G231" t="str">
        <f>"Ros_"&amp;Manifest[[#This Row],[Day]]&amp;"_"&amp;Manifest[[#This Row],[Segment]]&amp;"_"&amp;TEXT(Manifest[[#This Row],[Seq]],"00")</f>
        <v>Ros_Mie_4_07</v>
      </c>
    </row>
    <row r="232" spans="1:7" x14ac:dyDescent="0.25">
      <c r="A232" t="s">
        <v>11</v>
      </c>
      <c r="B232" t="str">
        <f>Manifest[[#This Row],[newID]]</f>
        <v>Ros_Mie_4_08</v>
      </c>
      <c r="C232" t="s">
        <v>4</v>
      </c>
      <c r="D232" t="s">
        <v>60</v>
      </c>
      <c r="E232">
        <v>4</v>
      </c>
      <c r="F232">
        <f>IF(Manifest[[#This Row],[Segment]]=E231,F231+1,1)</f>
        <v>8</v>
      </c>
      <c r="G232" t="str">
        <f>"Ros_"&amp;Manifest[[#This Row],[Day]]&amp;"_"&amp;Manifest[[#This Row],[Segment]]&amp;"_"&amp;TEXT(Manifest[[#This Row],[Seq]],"00")</f>
        <v>Ros_Mie_4_08</v>
      </c>
    </row>
    <row r="233" spans="1:7" x14ac:dyDescent="0.25">
      <c r="A233" t="s">
        <v>11</v>
      </c>
      <c r="B233" t="str">
        <f>Manifest[[#This Row],[newID]]</f>
        <v>Ros_Mie_4_09</v>
      </c>
      <c r="C233" t="s">
        <v>4</v>
      </c>
      <c r="D233" t="s">
        <v>60</v>
      </c>
      <c r="E233">
        <v>4</v>
      </c>
      <c r="F233">
        <f>IF(Manifest[[#This Row],[Segment]]=E232,F232+1,1)</f>
        <v>9</v>
      </c>
      <c r="G233" t="str">
        <f>"Ros_"&amp;Manifest[[#This Row],[Day]]&amp;"_"&amp;Manifest[[#This Row],[Segment]]&amp;"_"&amp;TEXT(Manifest[[#This Row],[Seq]],"00")</f>
        <v>Ros_Mie_4_09</v>
      </c>
    </row>
    <row r="234" spans="1:7" x14ac:dyDescent="0.25">
      <c r="A234" t="s">
        <v>11</v>
      </c>
      <c r="B234" t="str">
        <f>Manifest[[#This Row],[newID]]</f>
        <v>Ros_Mie_4_10</v>
      </c>
      <c r="C234" t="s">
        <v>4</v>
      </c>
      <c r="D234" t="s">
        <v>60</v>
      </c>
      <c r="E234">
        <v>4</v>
      </c>
      <c r="F234">
        <f>IF(Manifest[[#This Row],[Segment]]=E233,F233+1,1)</f>
        <v>10</v>
      </c>
      <c r="G234" t="str">
        <f>"Ros_"&amp;Manifest[[#This Row],[Day]]&amp;"_"&amp;Manifest[[#This Row],[Segment]]&amp;"_"&amp;TEXT(Manifest[[#This Row],[Seq]],"00")</f>
        <v>Ros_Mie_4_10</v>
      </c>
    </row>
    <row r="235" spans="1:7" x14ac:dyDescent="0.25">
      <c r="A235" t="s">
        <v>11</v>
      </c>
      <c r="B235" t="str">
        <f>Manifest[[#This Row],[newID]]</f>
        <v>Ros_Mie_4_11</v>
      </c>
      <c r="C235" t="s">
        <v>4</v>
      </c>
      <c r="D235" t="s">
        <v>60</v>
      </c>
      <c r="E235">
        <v>4</v>
      </c>
      <c r="F235">
        <f>IF(Manifest[[#This Row],[Segment]]=E234,F234+1,1)</f>
        <v>11</v>
      </c>
      <c r="G235" t="str">
        <f>"Ros_"&amp;Manifest[[#This Row],[Day]]&amp;"_"&amp;Manifest[[#This Row],[Segment]]&amp;"_"&amp;TEXT(Manifest[[#This Row],[Seq]],"00")</f>
        <v>Ros_Mie_4_11</v>
      </c>
    </row>
    <row r="236" spans="1:7" x14ac:dyDescent="0.25">
      <c r="A236" t="s">
        <v>11</v>
      </c>
      <c r="B236" t="str">
        <f>Manifest[[#This Row],[newID]]</f>
        <v>Ros_Mie_4_12</v>
      </c>
      <c r="C236" t="s">
        <v>4</v>
      </c>
      <c r="D236" t="s">
        <v>60</v>
      </c>
      <c r="E236">
        <v>4</v>
      </c>
      <c r="F236">
        <f>IF(Manifest[[#This Row],[Segment]]=E235,F235+1,1)</f>
        <v>12</v>
      </c>
      <c r="G236" t="str">
        <f>"Ros_"&amp;Manifest[[#This Row],[Day]]&amp;"_"&amp;Manifest[[#This Row],[Segment]]&amp;"_"&amp;TEXT(Manifest[[#This Row],[Seq]],"00")</f>
        <v>Ros_Mie_4_12</v>
      </c>
    </row>
    <row r="237" spans="1:7" x14ac:dyDescent="0.25">
      <c r="A237" t="s">
        <v>12</v>
      </c>
      <c r="B237" t="str">
        <f>Manifest[[#This Row],[newID]]</f>
        <v>Ros_Mie_4_13</v>
      </c>
      <c r="C237" t="s">
        <v>4</v>
      </c>
      <c r="D237" t="s">
        <v>60</v>
      </c>
      <c r="E237">
        <v>4</v>
      </c>
      <c r="F237">
        <f>IF(Manifest[[#This Row],[Segment]]=E236,F236+1,1)</f>
        <v>13</v>
      </c>
      <c r="G237" t="str">
        <f>"Ros_"&amp;Manifest[[#This Row],[Day]]&amp;"_"&amp;Manifest[[#This Row],[Segment]]&amp;"_"&amp;TEXT(Manifest[[#This Row],[Seq]],"00")</f>
        <v>Ros_Mie_4_13</v>
      </c>
    </row>
    <row r="238" spans="1:7" x14ac:dyDescent="0.25">
      <c r="A238" t="s">
        <v>15</v>
      </c>
      <c r="B238" t="str">
        <f>Manifest[[#This Row],[newID]]</f>
        <v>Ros_Mie_4_14</v>
      </c>
      <c r="C238" t="s">
        <v>4</v>
      </c>
      <c r="D238" t="s">
        <v>60</v>
      </c>
      <c r="E238">
        <v>4</v>
      </c>
      <c r="F238">
        <f>IF(Manifest[[#This Row],[Segment]]=E237,F237+1,1)</f>
        <v>14</v>
      </c>
      <c r="G238" t="str">
        <f>"Ros_"&amp;Manifest[[#This Row],[Day]]&amp;"_"&amp;Manifest[[#This Row],[Segment]]&amp;"_"&amp;TEXT(Manifest[[#This Row],[Seq]],"00")</f>
        <v>Ros_Mie_4_14</v>
      </c>
    </row>
    <row r="239" spans="1:7" x14ac:dyDescent="0.25">
      <c r="A239" t="s">
        <v>43</v>
      </c>
      <c r="B239" t="str">
        <f>Manifest[[#This Row],[newID]]</f>
        <v>Ros_Mie_5_01</v>
      </c>
      <c r="C239" t="s">
        <v>4</v>
      </c>
      <c r="D239" t="s">
        <v>60</v>
      </c>
      <c r="E239">
        <v>5</v>
      </c>
      <c r="F239">
        <f>IF(Manifest[[#This Row],[Segment]]=E238,F238+1,1)</f>
        <v>1</v>
      </c>
      <c r="G239" t="str">
        <f>"Ros_"&amp;Manifest[[#This Row],[Day]]&amp;"_"&amp;Manifest[[#This Row],[Segment]]&amp;"_"&amp;TEXT(Manifest[[#This Row],[Seq]],"00")</f>
        <v>Ros_Mie_5_01</v>
      </c>
    </row>
    <row r="240" spans="1:7" x14ac:dyDescent="0.25">
      <c r="A240" t="s">
        <v>10</v>
      </c>
      <c r="B240" t="str">
        <f>Manifest[[#This Row],[newID]]</f>
        <v>Ros_Mie_5_02</v>
      </c>
      <c r="C240" t="s">
        <v>4</v>
      </c>
      <c r="D240" t="s">
        <v>60</v>
      </c>
      <c r="E240">
        <v>5</v>
      </c>
      <c r="F240">
        <f>IF(Manifest[[#This Row],[Segment]]=E239,F239+1,1)</f>
        <v>2</v>
      </c>
      <c r="G240" t="str">
        <f>"Ros_"&amp;Manifest[[#This Row],[Day]]&amp;"_"&amp;Manifest[[#This Row],[Segment]]&amp;"_"&amp;TEXT(Manifest[[#This Row],[Seq]],"00")</f>
        <v>Ros_Mie_5_02</v>
      </c>
    </row>
    <row r="241" spans="1:7" x14ac:dyDescent="0.25">
      <c r="A241" t="s">
        <v>11</v>
      </c>
      <c r="B241" t="str">
        <f>Manifest[[#This Row],[newID]]</f>
        <v>Ros_Mie_5_03</v>
      </c>
      <c r="C241" t="s">
        <v>4</v>
      </c>
      <c r="D241" t="s">
        <v>60</v>
      </c>
      <c r="E241">
        <v>5</v>
      </c>
      <c r="F241">
        <f>IF(Manifest[[#This Row],[Segment]]=E240,F240+1,1)</f>
        <v>3</v>
      </c>
      <c r="G241" t="str">
        <f>"Ros_"&amp;Manifest[[#This Row],[Day]]&amp;"_"&amp;Manifest[[#This Row],[Segment]]&amp;"_"&amp;TEXT(Manifest[[#This Row],[Seq]],"00")</f>
        <v>Ros_Mie_5_03</v>
      </c>
    </row>
    <row r="242" spans="1:7" x14ac:dyDescent="0.25">
      <c r="A242" t="s">
        <v>11</v>
      </c>
      <c r="B242" t="str">
        <f>Manifest[[#This Row],[newID]]</f>
        <v>Ros_Mie_5_04</v>
      </c>
      <c r="C242" t="s">
        <v>4</v>
      </c>
      <c r="D242" t="s">
        <v>60</v>
      </c>
      <c r="E242">
        <v>5</v>
      </c>
      <c r="F242">
        <f>IF(Manifest[[#This Row],[Segment]]=E241,F241+1,1)</f>
        <v>4</v>
      </c>
      <c r="G242" t="str">
        <f>"Ros_"&amp;Manifest[[#This Row],[Day]]&amp;"_"&amp;Manifest[[#This Row],[Segment]]&amp;"_"&amp;TEXT(Manifest[[#This Row],[Seq]],"00")</f>
        <v>Ros_Mie_5_04</v>
      </c>
    </row>
    <row r="243" spans="1:7" x14ac:dyDescent="0.25">
      <c r="A243" t="s">
        <v>11</v>
      </c>
      <c r="B243" t="str">
        <f>Manifest[[#This Row],[newID]]</f>
        <v>Ros_Mie_5_05</v>
      </c>
      <c r="C243" t="s">
        <v>4</v>
      </c>
      <c r="D243" t="s">
        <v>60</v>
      </c>
      <c r="E243">
        <v>5</v>
      </c>
      <c r="F243">
        <f>IF(Manifest[[#This Row],[Segment]]=E242,F242+1,1)</f>
        <v>5</v>
      </c>
      <c r="G243" t="str">
        <f>"Ros_"&amp;Manifest[[#This Row],[Day]]&amp;"_"&amp;Manifest[[#This Row],[Segment]]&amp;"_"&amp;TEXT(Manifest[[#This Row],[Seq]],"00")</f>
        <v>Ros_Mie_5_05</v>
      </c>
    </row>
    <row r="244" spans="1:7" x14ac:dyDescent="0.25">
      <c r="A244" t="s">
        <v>11</v>
      </c>
      <c r="B244" t="str">
        <f>Manifest[[#This Row],[newID]]</f>
        <v>Ros_Mie_5_06</v>
      </c>
      <c r="C244" t="s">
        <v>4</v>
      </c>
      <c r="D244" t="s">
        <v>60</v>
      </c>
      <c r="E244">
        <v>5</v>
      </c>
      <c r="F244">
        <f>IF(Manifest[[#This Row],[Segment]]=E243,F243+1,1)</f>
        <v>6</v>
      </c>
      <c r="G244" t="str">
        <f>"Ros_"&amp;Manifest[[#This Row],[Day]]&amp;"_"&amp;Manifest[[#This Row],[Segment]]&amp;"_"&amp;TEXT(Manifest[[#This Row],[Seq]],"00")</f>
        <v>Ros_Mie_5_06</v>
      </c>
    </row>
    <row r="245" spans="1:7" x14ac:dyDescent="0.25">
      <c r="A245" t="s">
        <v>11</v>
      </c>
      <c r="B245" t="str">
        <f>Manifest[[#This Row],[newID]]</f>
        <v>Ros_Mie_5_07</v>
      </c>
      <c r="C245" t="s">
        <v>4</v>
      </c>
      <c r="D245" t="s">
        <v>60</v>
      </c>
      <c r="E245">
        <v>5</v>
      </c>
      <c r="F245">
        <f>IF(Manifest[[#This Row],[Segment]]=E244,F244+1,1)</f>
        <v>7</v>
      </c>
      <c r="G245" t="str">
        <f>"Ros_"&amp;Manifest[[#This Row],[Day]]&amp;"_"&amp;Manifest[[#This Row],[Segment]]&amp;"_"&amp;TEXT(Manifest[[#This Row],[Seq]],"00")</f>
        <v>Ros_Mie_5_07</v>
      </c>
    </row>
    <row r="246" spans="1:7" x14ac:dyDescent="0.25">
      <c r="A246" t="s">
        <v>11</v>
      </c>
      <c r="B246" t="str">
        <f>Manifest[[#This Row],[newID]]</f>
        <v>Ros_Mie_5_08</v>
      </c>
      <c r="C246" t="s">
        <v>4</v>
      </c>
      <c r="D246" t="s">
        <v>60</v>
      </c>
      <c r="E246">
        <v>5</v>
      </c>
      <c r="F246">
        <f>IF(Manifest[[#This Row],[Segment]]=E245,F245+1,1)</f>
        <v>8</v>
      </c>
      <c r="G246" t="str">
        <f>"Ros_"&amp;Manifest[[#This Row],[Day]]&amp;"_"&amp;Manifest[[#This Row],[Segment]]&amp;"_"&amp;TEXT(Manifest[[#This Row],[Seq]],"00")</f>
        <v>Ros_Mie_5_08</v>
      </c>
    </row>
    <row r="247" spans="1:7" x14ac:dyDescent="0.25">
      <c r="A247" t="s">
        <v>11</v>
      </c>
      <c r="B247" t="str">
        <f>Manifest[[#This Row],[newID]]</f>
        <v>Ros_Mie_5_09</v>
      </c>
      <c r="C247" t="s">
        <v>4</v>
      </c>
      <c r="D247" t="s">
        <v>60</v>
      </c>
      <c r="E247">
        <v>5</v>
      </c>
      <c r="F247">
        <f>IF(Manifest[[#This Row],[Segment]]=E246,F246+1,1)</f>
        <v>9</v>
      </c>
      <c r="G247" t="str">
        <f>"Ros_"&amp;Manifest[[#This Row],[Day]]&amp;"_"&amp;Manifest[[#This Row],[Segment]]&amp;"_"&amp;TEXT(Manifest[[#This Row],[Seq]],"00")</f>
        <v>Ros_Mie_5_09</v>
      </c>
    </row>
    <row r="248" spans="1:7" x14ac:dyDescent="0.25">
      <c r="A248" t="s">
        <v>11</v>
      </c>
      <c r="B248" t="str">
        <f>Manifest[[#This Row],[newID]]</f>
        <v>Ros_Mie_5_10</v>
      </c>
      <c r="C248" t="s">
        <v>4</v>
      </c>
      <c r="D248" t="s">
        <v>60</v>
      </c>
      <c r="E248">
        <v>5</v>
      </c>
      <c r="F248">
        <f>IF(Manifest[[#This Row],[Segment]]=E247,F247+1,1)</f>
        <v>10</v>
      </c>
      <c r="G248" t="str">
        <f>"Ros_"&amp;Manifest[[#This Row],[Day]]&amp;"_"&amp;Manifest[[#This Row],[Segment]]&amp;"_"&amp;TEXT(Manifest[[#This Row],[Seq]],"00")</f>
        <v>Ros_Mie_5_10</v>
      </c>
    </row>
    <row r="249" spans="1:7" x14ac:dyDescent="0.25">
      <c r="A249" t="s">
        <v>11</v>
      </c>
      <c r="B249" t="str">
        <f>Manifest[[#This Row],[newID]]</f>
        <v>Ros_Mie_5_11</v>
      </c>
      <c r="C249" t="s">
        <v>4</v>
      </c>
      <c r="D249" t="s">
        <v>60</v>
      </c>
      <c r="E249">
        <v>5</v>
      </c>
      <c r="F249">
        <f>IF(Manifest[[#This Row],[Segment]]=E248,F248+1,1)</f>
        <v>11</v>
      </c>
      <c r="G249" t="str">
        <f>"Ros_"&amp;Manifest[[#This Row],[Day]]&amp;"_"&amp;Manifest[[#This Row],[Segment]]&amp;"_"&amp;TEXT(Manifest[[#This Row],[Seq]],"00")</f>
        <v>Ros_Mie_5_11</v>
      </c>
    </row>
    <row r="250" spans="1:7" x14ac:dyDescent="0.25">
      <c r="A250" t="s">
        <v>11</v>
      </c>
      <c r="B250" t="str">
        <f>Manifest[[#This Row],[newID]]</f>
        <v>Ros_Mie_5_12</v>
      </c>
      <c r="C250" t="s">
        <v>4</v>
      </c>
      <c r="D250" t="s">
        <v>60</v>
      </c>
      <c r="E250">
        <v>5</v>
      </c>
      <c r="F250">
        <f>IF(Manifest[[#This Row],[Segment]]=E249,F249+1,1)</f>
        <v>12</v>
      </c>
      <c r="G250" t="str">
        <f>"Ros_"&amp;Manifest[[#This Row],[Day]]&amp;"_"&amp;Manifest[[#This Row],[Segment]]&amp;"_"&amp;TEXT(Manifest[[#This Row],[Seq]],"00")</f>
        <v>Ros_Mie_5_12</v>
      </c>
    </row>
    <row r="251" spans="1:7" x14ac:dyDescent="0.25">
      <c r="A251" t="s">
        <v>12</v>
      </c>
      <c r="B251" t="str">
        <f>Manifest[[#This Row],[newID]]</f>
        <v>Ros_Mie_5_13</v>
      </c>
      <c r="C251" t="s">
        <v>4</v>
      </c>
      <c r="D251" t="s">
        <v>60</v>
      </c>
      <c r="E251">
        <v>5</v>
      </c>
      <c r="F251">
        <f>IF(Manifest[[#This Row],[Segment]]=E250,F250+1,1)</f>
        <v>13</v>
      </c>
      <c r="G251" t="str">
        <f>"Ros_"&amp;Manifest[[#This Row],[Day]]&amp;"_"&amp;Manifest[[#This Row],[Segment]]&amp;"_"&amp;TEXT(Manifest[[#This Row],[Seq]],"00")</f>
        <v>Ros_Mie_5_13</v>
      </c>
    </row>
    <row r="252" spans="1:7" x14ac:dyDescent="0.25">
      <c r="A252" t="s">
        <v>15</v>
      </c>
      <c r="B252" t="str">
        <f>Manifest[[#This Row],[newID]]</f>
        <v>Ros_Mie_5_14</v>
      </c>
      <c r="C252" t="s">
        <v>4</v>
      </c>
      <c r="D252" t="s">
        <v>60</v>
      </c>
      <c r="E252">
        <v>5</v>
      </c>
      <c r="F252">
        <f>IF(Manifest[[#This Row],[Segment]]=E251,F251+1,1)</f>
        <v>14</v>
      </c>
      <c r="G252" t="str">
        <f>"Ros_"&amp;Manifest[[#This Row],[Day]]&amp;"_"&amp;Manifest[[#This Row],[Segment]]&amp;"_"&amp;TEXT(Manifest[[#This Row],[Seq]],"00")</f>
        <v>Ros_Mie_5_14</v>
      </c>
    </row>
    <row r="253" spans="1:7" x14ac:dyDescent="0.25">
      <c r="A253" t="s">
        <v>20</v>
      </c>
      <c r="B253" t="str">
        <f>Manifest[[#This Row],[newID]]</f>
        <v>Ros_Mie_6_01</v>
      </c>
      <c r="C253" t="s">
        <v>4</v>
      </c>
      <c r="D253" t="s">
        <v>60</v>
      </c>
      <c r="E253">
        <v>6</v>
      </c>
      <c r="F253">
        <f>IF(Manifest[[#This Row],[Segment]]=E252,F252+1,1)</f>
        <v>1</v>
      </c>
      <c r="G253" t="str">
        <f>"Ros_"&amp;Manifest[[#This Row],[Day]]&amp;"_"&amp;Manifest[[#This Row],[Segment]]&amp;"_"&amp;TEXT(Manifest[[#This Row],[Seq]],"00")</f>
        <v>Ros_Mie_6_01</v>
      </c>
    </row>
    <row r="254" spans="1:7" x14ac:dyDescent="0.25">
      <c r="A254" t="s">
        <v>44</v>
      </c>
      <c r="B254" t="str">
        <f>Manifest[[#This Row],[newID]]</f>
        <v>Ros_Mie_6_02</v>
      </c>
      <c r="C254" t="s">
        <v>4</v>
      </c>
      <c r="D254" t="s">
        <v>60</v>
      </c>
      <c r="E254">
        <v>6</v>
      </c>
      <c r="F254">
        <f>IF(Manifest[[#This Row],[Segment]]=E253,F253+1,1)</f>
        <v>2</v>
      </c>
      <c r="G254" t="str">
        <f>"Ros_"&amp;Manifest[[#This Row],[Day]]&amp;"_"&amp;Manifest[[#This Row],[Segment]]&amp;"_"&amp;TEXT(Manifest[[#This Row],[Seq]],"00")</f>
        <v>Ros_Mie_6_02</v>
      </c>
    </row>
    <row r="255" spans="1:7" x14ac:dyDescent="0.25">
      <c r="A255" t="s">
        <v>70</v>
      </c>
      <c r="B255" t="str">
        <f>Manifest[[#This Row],[newID]]</f>
        <v>Ros_Mie_6_03</v>
      </c>
      <c r="C255" t="s">
        <v>4</v>
      </c>
      <c r="D255" t="s">
        <v>60</v>
      </c>
      <c r="E255">
        <v>6</v>
      </c>
      <c r="F255">
        <f>IF(Manifest[[#This Row],[Segment]]=E254,F254+1,1)</f>
        <v>3</v>
      </c>
      <c r="G255" t="str">
        <f>"Ros_"&amp;Manifest[[#This Row],[Day]]&amp;"_"&amp;Manifest[[#This Row],[Segment]]&amp;"_"&amp;TEXT(Manifest[[#This Row],[Seq]],"00")</f>
        <v>Ros_Mie_6_03</v>
      </c>
    </row>
    <row r="256" spans="1:7" x14ac:dyDescent="0.25">
      <c r="A256" t="s">
        <v>31</v>
      </c>
      <c r="B256" t="str">
        <f>Manifest[[#This Row],[newID]]</f>
        <v>Ros_Mie_6_04</v>
      </c>
      <c r="C256" t="s">
        <v>4</v>
      </c>
      <c r="D256" t="s">
        <v>60</v>
      </c>
      <c r="E256">
        <v>6</v>
      </c>
      <c r="F256">
        <f>IF(Manifest[[#This Row],[Segment]]=E255,F255+1,1)</f>
        <v>4</v>
      </c>
      <c r="G256" t="str">
        <f>"Ros_"&amp;Manifest[[#This Row],[Day]]&amp;"_"&amp;Manifest[[#This Row],[Segment]]&amp;"_"&amp;TEXT(Manifest[[#This Row],[Seq]],"00")</f>
        <v>Ros_Mie_6_04</v>
      </c>
    </row>
    <row r="257" spans="1:7" x14ac:dyDescent="0.25">
      <c r="A257" t="s">
        <v>45</v>
      </c>
      <c r="B257" t="str">
        <f>Manifest[[#This Row],[newID]]</f>
        <v>Ros_Jue_0_01</v>
      </c>
      <c r="C257" t="s">
        <v>4</v>
      </c>
      <c r="D257" t="s">
        <v>62</v>
      </c>
      <c r="E257">
        <v>0</v>
      </c>
      <c r="F257">
        <f>IF(Manifest[[#This Row],[Segment]]=E256,F256+1,1)</f>
        <v>1</v>
      </c>
      <c r="G257" t="str">
        <f>"Ros_"&amp;Manifest[[#This Row],[Day]]&amp;"_"&amp;Manifest[[#This Row],[Segment]]&amp;"_"&amp;TEXT(Manifest[[#This Row],[Seq]],"00")</f>
        <v>Ros_Jue_0_01</v>
      </c>
    </row>
    <row r="258" spans="1:7" x14ac:dyDescent="0.25">
      <c r="A258" t="s">
        <v>7</v>
      </c>
      <c r="B258" t="str">
        <f>Manifest[[#This Row],[newID]]</f>
        <v>Ros_Jue_0_02</v>
      </c>
      <c r="C258" t="s">
        <v>4</v>
      </c>
      <c r="D258" t="s">
        <v>62</v>
      </c>
      <c r="E258">
        <v>0</v>
      </c>
      <c r="F258">
        <f>IF(Manifest[[#This Row],[Segment]]=E257,F257+1,1)</f>
        <v>2</v>
      </c>
      <c r="G258" t="str">
        <f>"Ros_"&amp;Manifest[[#This Row],[Day]]&amp;"_"&amp;Manifest[[#This Row],[Segment]]&amp;"_"&amp;TEXT(Manifest[[#This Row],[Seq]],"00")</f>
        <v>Ros_Jue_0_02</v>
      </c>
    </row>
    <row r="259" spans="1:7" x14ac:dyDescent="0.25">
      <c r="A259" t="s">
        <v>8</v>
      </c>
      <c r="B259" t="str">
        <f>Manifest[[#This Row],[newID]]</f>
        <v>Ros_Jue_0_03</v>
      </c>
      <c r="C259" t="s">
        <v>4</v>
      </c>
      <c r="D259" t="s">
        <v>62</v>
      </c>
      <c r="E259">
        <v>0</v>
      </c>
      <c r="F259">
        <f>IF(Manifest[[#This Row],[Segment]]=E258,F258+1,1)</f>
        <v>3</v>
      </c>
      <c r="G259" t="str">
        <f>"Ros_"&amp;Manifest[[#This Row],[Day]]&amp;"_"&amp;Manifest[[#This Row],[Segment]]&amp;"_"&amp;TEXT(Manifest[[#This Row],[Seq]],"00")</f>
        <v>Ros_Jue_0_03</v>
      </c>
    </row>
    <row r="260" spans="1:7" x14ac:dyDescent="0.25">
      <c r="A260" t="s">
        <v>9</v>
      </c>
      <c r="B260" t="str">
        <f>Manifest[[#This Row],[newID]]</f>
        <v>Ros_Jue_0_04</v>
      </c>
      <c r="C260" t="s">
        <v>4</v>
      </c>
      <c r="D260" t="s">
        <v>62</v>
      </c>
      <c r="E260">
        <v>0</v>
      </c>
      <c r="F260">
        <f>IF(Manifest[[#This Row],[Segment]]=E259,F259+1,1)</f>
        <v>4</v>
      </c>
      <c r="G260" t="str">
        <f>"Ros_"&amp;Manifest[[#This Row],[Day]]&amp;"_"&amp;Manifest[[#This Row],[Segment]]&amp;"_"&amp;TEXT(Manifest[[#This Row],[Seq]],"00")</f>
        <v>Ros_Jue_0_04</v>
      </c>
    </row>
    <row r="261" spans="1:7" x14ac:dyDescent="0.25">
      <c r="A261" t="s">
        <v>10</v>
      </c>
      <c r="B261" t="str">
        <f>Manifest[[#This Row],[newID]]</f>
        <v>Ros_Jue_0_05</v>
      </c>
      <c r="C261" t="s">
        <v>4</v>
      </c>
      <c r="D261" t="s">
        <v>62</v>
      </c>
      <c r="E261">
        <v>0</v>
      </c>
      <c r="F261">
        <f>IF(Manifest[[#This Row],[Segment]]=E260,F260+1,1)</f>
        <v>5</v>
      </c>
      <c r="G261" t="str">
        <f>"Ros_"&amp;Manifest[[#This Row],[Day]]&amp;"_"&amp;Manifest[[#This Row],[Segment]]&amp;"_"&amp;TEXT(Manifest[[#This Row],[Seq]],"00")</f>
        <v>Ros_Jue_0_05</v>
      </c>
    </row>
    <row r="262" spans="1:7" x14ac:dyDescent="0.25">
      <c r="A262" t="s">
        <v>11</v>
      </c>
      <c r="B262" t="str">
        <f>Manifest[[#This Row],[newID]]</f>
        <v>Ros_Jue_0_06</v>
      </c>
      <c r="C262" t="s">
        <v>4</v>
      </c>
      <c r="D262" t="s">
        <v>62</v>
      </c>
      <c r="E262">
        <v>0</v>
      </c>
      <c r="F262">
        <f>IF(Manifest[[#This Row],[Segment]]=E261,F261+1,1)</f>
        <v>6</v>
      </c>
      <c r="G262" t="str">
        <f>"Ros_"&amp;Manifest[[#This Row],[Day]]&amp;"_"&amp;Manifest[[#This Row],[Segment]]&amp;"_"&amp;TEXT(Manifest[[#This Row],[Seq]],"00")</f>
        <v>Ros_Jue_0_06</v>
      </c>
    </row>
    <row r="263" spans="1:7" x14ac:dyDescent="0.25">
      <c r="A263" t="s">
        <v>11</v>
      </c>
      <c r="B263" t="str">
        <f>Manifest[[#This Row],[newID]]</f>
        <v>Ros_Jue_0_07</v>
      </c>
      <c r="C263" t="s">
        <v>4</v>
      </c>
      <c r="D263" t="s">
        <v>62</v>
      </c>
      <c r="E263">
        <v>0</v>
      </c>
      <c r="F263">
        <f>IF(Manifest[[#This Row],[Segment]]=E262,F262+1,1)</f>
        <v>7</v>
      </c>
      <c r="G263" t="str">
        <f>"Ros_"&amp;Manifest[[#This Row],[Day]]&amp;"_"&amp;Manifest[[#This Row],[Segment]]&amp;"_"&amp;TEXT(Manifest[[#This Row],[Seq]],"00")</f>
        <v>Ros_Jue_0_07</v>
      </c>
    </row>
    <row r="264" spans="1:7" x14ac:dyDescent="0.25">
      <c r="A264" t="s">
        <v>11</v>
      </c>
      <c r="B264" t="str">
        <f>Manifest[[#This Row],[newID]]</f>
        <v>Ros_Jue_0_08</v>
      </c>
      <c r="C264" t="s">
        <v>4</v>
      </c>
      <c r="D264" t="s">
        <v>62</v>
      </c>
      <c r="E264">
        <v>0</v>
      </c>
      <c r="F264">
        <f>IF(Manifest[[#This Row],[Segment]]=E263,F263+1,1)</f>
        <v>8</v>
      </c>
      <c r="G264" t="str">
        <f>"Ros_"&amp;Manifest[[#This Row],[Day]]&amp;"_"&amp;Manifest[[#This Row],[Segment]]&amp;"_"&amp;TEXT(Manifest[[#This Row],[Seq]],"00")</f>
        <v>Ros_Jue_0_08</v>
      </c>
    </row>
    <row r="265" spans="1:7" x14ac:dyDescent="0.25">
      <c r="A265" t="s">
        <v>12</v>
      </c>
      <c r="B265" t="str">
        <f>Manifest[[#This Row],[newID]]</f>
        <v>Ros_Jue_0_09</v>
      </c>
      <c r="C265" t="s">
        <v>4</v>
      </c>
      <c r="D265" t="s">
        <v>62</v>
      </c>
      <c r="E265">
        <v>0</v>
      </c>
      <c r="F265">
        <f>IF(Manifest[[#This Row],[Segment]]=E264,F264+1,1)</f>
        <v>9</v>
      </c>
      <c r="G265" t="str">
        <f>"Ros_"&amp;Manifest[[#This Row],[Day]]&amp;"_"&amp;Manifest[[#This Row],[Segment]]&amp;"_"&amp;TEXT(Manifest[[#This Row],[Seq]],"00")</f>
        <v>Ros_Jue_0_09</v>
      </c>
    </row>
    <row r="266" spans="1:7" x14ac:dyDescent="0.25">
      <c r="A266" t="s">
        <v>13</v>
      </c>
      <c r="B266" t="str">
        <f>Manifest[[#This Row],[newID]]</f>
        <v>Ros_Jue_0_10</v>
      </c>
      <c r="C266" t="s">
        <v>4</v>
      </c>
      <c r="D266" t="s">
        <v>62</v>
      </c>
      <c r="E266">
        <v>0</v>
      </c>
      <c r="F266">
        <f>IF(Manifest[[#This Row],[Segment]]=E265,F265+1,1)</f>
        <v>10</v>
      </c>
      <c r="G266" t="str">
        <f>"Ros_"&amp;Manifest[[#This Row],[Day]]&amp;"_"&amp;Manifest[[#This Row],[Segment]]&amp;"_"&amp;TEXT(Manifest[[#This Row],[Seq]],"00")</f>
        <v>Ros_Jue_0_10</v>
      </c>
    </row>
    <row r="267" spans="1:7" x14ac:dyDescent="0.25">
      <c r="A267" t="s">
        <v>46</v>
      </c>
      <c r="B267" t="str">
        <f>Manifest[[#This Row],[newID]]</f>
        <v>Ros_Jue_1_01</v>
      </c>
      <c r="C267" t="s">
        <v>4</v>
      </c>
      <c r="D267" t="s">
        <v>62</v>
      </c>
      <c r="E267">
        <v>1</v>
      </c>
      <c r="F267">
        <f>IF(Manifest[[#This Row],[Segment]]=E266,F266+1,1)</f>
        <v>1</v>
      </c>
      <c r="G267" t="str">
        <f>"Ros_"&amp;Manifest[[#This Row],[Day]]&amp;"_"&amp;Manifest[[#This Row],[Segment]]&amp;"_"&amp;TEXT(Manifest[[#This Row],[Seq]],"00")</f>
        <v>Ros_Jue_1_01</v>
      </c>
    </row>
    <row r="268" spans="1:7" x14ac:dyDescent="0.25">
      <c r="A268" t="s">
        <v>10</v>
      </c>
      <c r="B268" t="str">
        <f>Manifest[[#This Row],[newID]]</f>
        <v>Ros_Jue_1_02</v>
      </c>
      <c r="C268" t="s">
        <v>4</v>
      </c>
      <c r="D268" t="s">
        <v>62</v>
      </c>
      <c r="E268">
        <v>1</v>
      </c>
      <c r="F268">
        <f>IF(Manifest[[#This Row],[Segment]]=E267,F267+1,1)</f>
        <v>2</v>
      </c>
      <c r="G268" t="str">
        <f>"Ros_"&amp;Manifest[[#This Row],[Day]]&amp;"_"&amp;Manifest[[#This Row],[Segment]]&amp;"_"&amp;TEXT(Manifest[[#This Row],[Seq]],"00")</f>
        <v>Ros_Jue_1_02</v>
      </c>
    </row>
    <row r="269" spans="1:7" x14ac:dyDescent="0.25">
      <c r="A269" t="s">
        <v>11</v>
      </c>
      <c r="B269" t="str">
        <f>Manifest[[#This Row],[newID]]</f>
        <v>Ros_Jue_1_03</v>
      </c>
      <c r="C269" t="s">
        <v>4</v>
      </c>
      <c r="D269" t="s">
        <v>62</v>
      </c>
      <c r="E269">
        <v>1</v>
      </c>
      <c r="F269">
        <f>IF(Manifest[[#This Row],[Segment]]=E268,F268+1,1)</f>
        <v>3</v>
      </c>
      <c r="G269" t="str">
        <f>"Ros_"&amp;Manifest[[#This Row],[Day]]&amp;"_"&amp;Manifest[[#This Row],[Segment]]&amp;"_"&amp;TEXT(Manifest[[#This Row],[Seq]],"00")</f>
        <v>Ros_Jue_1_03</v>
      </c>
    </row>
    <row r="270" spans="1:7" x14ac:dyDescent="0.25">
      <c r="A270" t="s">
        <v>11</v>
      </c>
      <c r="B270" t="str">
        <f>Manifest[[#This Row],[newID]]</f>
        <v>Ros_Jue_1_04</v>
      </c>
      <c r="C270" t="s">
        <v>4</v>
      </c>
      <c r="D270" t="s">
        <v>62</v>
      </c>
      <c r="E270">
        <v>1</v>
      </c>
      <c r="F270">
        <f>IF(Manifest[[#This Row],[Segment]]=E269,F269+1,1)</f>
        <v>4</v>
      </c>
      <c r="G270" t="str">
        <f>"Ros_"&amp;Manifest[[#This Row],[Day]]&amp;"_"&amp;Manifest[[#This Row],[Segment]]&amp;"_"&amp;TEXT(Manifest[[#This Row],[Seq]],"00")</f>
        <v>Ros_Jue_1_04</v>
      </c>
    </row>
    <row r="271" spans="1:7" x14ac:dyDescent="0.25">
      <c r="A271" t="s">
        <v>11</v>
      </c>
      <c r="B271" t="str">
        <f>Manifest[[#This Row],[newID]]</f>
        <v>Ros_Jue_1_05</v>
      </c>
      <c r="C271" t="s">
        <v>4</v>
      </c>
      <c r="D271" t="s">
        <v>62</v>
      </c>
      <c r="E271">
        <v>1</v>
      </c>
      <c r="F271">
        <f>IF(Manifest[[#This Row],[Segment]]=E270,F270+1,1)</f>
        <v>5</v>
      </c>
      <c r="G271" t="str">
        <f>"Ros_"&amp;Manifest[[#This Row],[Day]]&amp;"_"&amp;Manifest[[#This Row],[Segment]]&amp;"_"&amp;TEXT(Manifest[[#This Row],[Seq]],"00")</f>
        <v>Ros_Jue_1_05</v>
      </c>
    </row>
    <row r="272" spans="1:7" x14ac:dyDescent="0.25">
      <c r="A272" t="s">
        <v>11</v>
      </c>
      <c r="B272" t="str">
        <f>Manifest[[#This Row],[newID]]</f>
        <v>Ros_Jue_1_06</v>
      </c>
      <c r="C272" t="s">
        <v>4</v>
      </c>
      <c r="D272" t="s">
        <v>62</v>
      </c>
      <c r="E272">
        <v>1</v>
      </c>
      <c r="F272">
        <f>IF(Manifest[[#This Row],[Segment]]=E271,F271+1,1)</f>
        <v>6</v>
      </c>
      <c r="G272" t="str">
        <f>"Ros_"&amp;Manifest[[#This Row],[Day]]&amp;"_"&amp;Manifest[[#This Row],[Segment]]&amp;"_"&amp;TEXT(Manifest[[#This Row],[Seq]],"00")</f>
        <v>Ros_Jue_1_06</v>
      </c>
    </row>
    <row r="273" spans="1:7" x14ac:dyDescent="0.25">
      <c r="A273" t="s">
        <v>11</v>
      </c>
      <c r="B273" t="str">
        <f>Manifest[[#This Row],[newID]]</f>
        <v>Ros_Jue_1_07</v>
      </c>
      <c r="C273" t="s">
        <v>4</v>
      </c>
      <c r="D273" t="s">
        <v>62</v>
      </c>
      <c r="E273">
        <v>1</v>
      </c>
      <c r="F273">
        <f>IF(Manifest[[#This Row],[Segment]]=E272,F272+1,1)</f>
        <v>7</v>
      </c>
      <c r="G273" t="str">
        <f>"Ros_"&amp;Manifest[[#This Row],[Day]]&amp;"_"&amp;Manifest[[#This Row],[Segment]]&amp;"_"&amp;TEXT(Manifest[[#This Row],[Seq]],"00")</f>
        <v>Ros_Jue_1_07</v>
      </c>
    </row>
    <row r="274" spans="1:7" x14ac:dyDescent="0.25">
      <c r="A274" t="s">
        <v>11</v>
      </c>
      <c r="B274" t="str">
        <f>Manifest[[#This Row],[newID]]</f>
        <v>Ros_Jue_1_08</v>
      </c>
      <c r="C274" t="s">
        <v>4</v>
      </c>
      <c r="D274" t="s">
        <v>62</v>
      </c>
      <c r="E274">
        <v>1</v>
      </c>
      <c r="F274">
        <f>IF(Manifest[[#This Row],[Segment]]=E273,F273+1,1)</f>
        <v>8</v>
      </c>
      <c r="G274" t="str">
        <f>"Ros_"&amp;Manifest[[#This Row],[Day]]&amp;"_"&amp;Manifest[[#This Row],[Segment]]&amp;"_"&amp;TEXT(Manifest[[#This Row],[Seq]],"00")</f>
        <v>Ros_Jue_1_08</v>
      </c>
    </row>
    <row r="275" spans="1:7" x14ac:dyDescent="0.25">
      <c r="A275" t="s">
        <v>11</v>
      </c>
      <c r="B275" t="str">
        <f>Manifest[[#This Row],[newID]]</f>
        <v>Ros_Jue_1_09</v>
      </c>
      <c r="C275" t="s">
        <v>4</v>
      </c>
      <c r="D275" t="s">
        <v>62</v>
      </c>
      <c r="E275">
        <v>1</v>
      </c>
      <c r="F275">
        <f>IF(Manifest[[#This Row],[Segment]]=E274,F274+1,1)</f>
        <v>9</v>
      </c>
      <c r="G275" t="str">
        <f>"Ros_"&amp;Manifest[[#This Row],[Day]]&amp;"_"&amp;Manifest[[#This Row],[Segment]]&amp;"_"&amp;TEXT(Manifest[[#This Row],[Seq]],"00")</f>
        <v>Ros_Jue_1_09</v>
      </c>
    </row>
    <row r="276" spans="1:7" x14ac:dyDescent="0.25">
      <c r="A276" t="s">
        <v>11</v>
      </c>
      <c r="B276" t="str">
        <f>Manifest[[#This Row],[newID]]</f>
        <v>Ros_Jue_1_10</v>
      </c>
      <c r="C276" t="s">
        <v>4</v>
      </c>
      <c r="D276" t="s">
        <v>62</v>
      </c>
      <c r="E276">
        <v>1</v>
      </c>
      <c r="F276">
        <f>IF(Manifest[[#This Row],[Segment]]=E275,F275+1,1)</f>
        <v>10</v>
      </c>
      <c r="G276" t="str">
        <f>"Ros_"&amp;Manifest[[#This Row],[Day]]&amp;"_"&amp;Manifest[[#This Row],[Segment]]&amp;"_"&amp;TEXT(Manifest[[#This Row],[Seq]],"00")</f>
        <v>Ros_Jue_1_10</v>
      </c>
    </row>
    <row r="277" spans="1:7" x14ac:dyDescent="0.25">
      <c r="A277" t="s">
        <v>11</v>
      </c>
      <c r="B277" t="str">
        <f>Manifest[[#This Row],[newID]]</f>
        <v>Ros_Jue_1_11</v>
      </c>
      <c r="C277" t="s">
        <v>4</v>
      </c>
      <c r="D277" t="s">
        <v>62</v>
      </c>
      <c r="E277">
        <v>1</v>
      </c>
      <c r="F277">
        <f>IF(Manifest[[#This Row],[Segment]]=E276,F276+1,1)</f>
        <v>11</v>
      </c>
      <c r="G277" t="str">
        <f>"Ros_"&amp;Manifest[[#This Row],[Day]]&amp;"_"&amp;Manifest[[#This Row],[Segment]]&amp;"_"&amp;TEXT(Manifest[[#This Row],[Seq]],"00")</f>
        <v>Ros_Jue_1_11</v>
      </c>
    </row>
    <row r="278" spans="1:7" x14ac:dyDescent="0.25">
      <c r="A278" t="s">
        <v>11</v>
      </c>
      <c r="B278" t="str">
        <f>Manifest[[#This Row],[newID]]</f>
        <v>Ros_Jue_1_12</v>
      </c>
      <c r="C278" t="s">
        <v>4</v>
      </c>
      <c r="D278" t="s">
        <v>62</v>
      </c>
      <c r="E278">
        <v>1</v>
      </c>
      <c r="F278">
        <f>IF(Manifest[[#This Row],[Segment]]=E277,F277+1,1)</f>
        <v>12</v>
      </c>
      <c r="G278" t="str">
        <f>"Ros_"&amp;Manifest[[#This Row],[Day]]&amp;"_"&amp;Manifest[[#This Row],[Segment]]&amp;"_"&amp;TEXT(Manifest[[#This Row],[Seq]],"00")</f>
        <v>Ros_Jue_1_12</v>
      </c>
    </row>
    <row r="279" spans="1:7" x14ac:dyDescent="0.25">
      <c r="A279" t="s">
        <v>12</v>
      </c>
      <c r="B279" t="str">
        <f>Manifest[[#This Row],[newID]]</f>
        <v>Ros_Jue_1_13</v>
      </c>
      <c r="C279" t="s">
        <v>4</v>
      </c>
      <c r="D279" t="s">
        <v>62</v>
      </c>
      <c r="E279">
        <v>1</v>
      </c>
      <c r="F279">
        <f>IF(Manifest[[#This Row],[Segment]]=E278,F278+1,1)</f>
        <v>13</v>
      </c>
      <c r="G279" t="str">
        <f>"Ros_"&amp;Manifest[[#This Row],[Day]]&amp;"_"&amp;Manifest[[#This Row],[Segment]]&amp;"_"&amp;TEXT(Manifest[[#This Row],[Seq]],"00")</f>
        <v>Ros_Jue_1_13</v>
      </c>
    </row>
    <row r="280" spans="1:7" x14ac:dyDescent="0.25">
      <c r="A280" t="s">
        <v>15</v>
      </c>
      <c r="B280" t="str">
        <f>Manifest[[#This Row],[newID]]</f>
        <v>Ros_Jue_1_14</v>
      </c>
      <c r="C280" t="s">
        <v>4</v>
      </c>
      <c r="D280" t="s">
        <v>62</v>
      </c>
      <c r="E280">
        <v>1</v>
      </c>
      <c r="F280">
        <f>IF(Manifest[[#This Row],[Segment]]=E279,F279+1,1)</f>
        <v>14</v>
      </c>
      <c r="G280" t="str">
        <f>"Ros_"&amp;Manifest[[#This Row],[Day]]&amp;"_"&amp;Manifest[[#This Row],[Segment]]&amp;"_"&amp;TEXT(Manifest[[#This Row],[Seq]],"00")</f>
        <v>Ros_Jue_1_14</v>
      </c>
    </row>
    <row r="281" spans="1:7" x14ac:dyDescent="0.25">
      <c r="A281" t="s">
        <v>47</v>
      </c>
      <c r="B281" t="str">
        <f>Manifest[[#This Row],[newID]]</f>
        <v>Ros_Jue_2_01</v>
      </c>
      <c r="C281" t="s">
        <v>4</v>
      </c>
      <c r="D281" t="s">
        <v>62</v>
      </c>
      <c r="E281">
        <v>2</v>
      </c>
      <c r="F281">
        <f>IF(Manifest[[#This Row],[Segment]]=E280,F280+1,1)</f>
        <v>1</v>
      </c>
      <c r="G281" t="str">
        <f>"Ros_"&amp;Manifest[[#This Row],[Day]]&amp;"_"&amp;Manifest[[#This Row],[Segment]]&amp;"_"&amp;TEXT(Manifest[[#This Row],[Seq]],"00")</f>
        <v>Ros_Jue_2_01</v>
      </c>
    </row>
    <row r="282" spans="1:7" x14ac:dyDescent="0.25">
      <c r="A282" t="s">
        <v>10</v>
      </c>
      <c r="B282" t="str">
        <f>Manifest[[#This Row],[newID]]</f>
        <v>Ros_Jue_2_02</v>
      </c>
      <c r="C282" t="s">
        <v>4</v>
      </c>
      <c r="D282" t="s">
        <v>62</v>
      </c>
      <c r="E282">
        <v>2</v>
      </c>
      <c r="F282">
        <f>IF(Manifest[[#This Row],[Segment]]=E281,F281+1,1)</f>
        <v>2</v>
      </c>
      <c r="G282" t="str">
        <f>"Ros_"&amp;Manifest[[#This Row],[Day]]&amp;"_"&amp;Manifest[[#This Row],[Segment]]&amp;"_"&amp;TEXT(Manifest[[#This Row],[Seq]],"00")</f>
        <v>Ros_Jue_2_02</v>
      </c>
    </row>
    <row r="283" spans="1:7" x14ac:dyDescent="0.25">
      <c r="A283" t="s">
        <v>11</v>
      </c>
      <c r="B283" t="str">
        <f>Manifest[[#This Row],[newID]]</f>
        <v>Ros_Jue_2_03</v>
      </c>
      <c r="C283" t="s">
        <v>4</v>
      </c>
      <c r="D283" t="s">
        <v>62</v>
      </c>
      <c r="E283">
        <v>2</v>
      </c>
      <c r="F283">
        <f>IF(Manifest[[#This Row],[Segment]]=E282,F282+1,1)</f>
        <v>3</v>
      </c>
      <c r="G283" t="str">
        <f>"Ros_"&amp;Manifest[[#This Row],[Day]]&amp;"_"&amp;Manifest[[#This Row],[Segment]]&amp;"_"&amp;TEXT(Manifest[[#This Row],[Seq]],"00")</f>
        <v>Ros_Jue_2_03</v>
      </c>
    </row>
    <row r="284" spans="1:7" x14ac:dyDescent="0.25">
      <c r="A284" t="s">
        <v>11</v>
      </c>
      <c r="B284" t="str">
        <f>Manifest[[#This Row],[newID]]</f>
        <v>Ros_Jue_2_04</v>
      </c>
      <c r="C284" t="s">
        <v>4</v>
      </c>
      <c r="D284" t="s">
        <v>62</v>
      </c>
      <c r="E284">
        <v>2</v>
      </c>
      <c r="F284">
        <f>IF(Manifest[[#This Row],[Segment]]=E283,F283+1,1)</f>
        <v>4</v>
      </c>
      <c r="G284" t="str">
        <f>"Ros_"&amp;Manifest[[#This Row],[Day]]&amp;"_"&amp;Manifest[[#This Row],[Segment]]&amp;"_"&amp;TEXT(Manifest[[#This Row],[Seq]],"00")</f>
        <v>Ros_Jue_2_04</v>
      </c>
    </row>
    <row r="285" spans="1:7" x14ac:dyDescent="0.25">
      <c r="A285" t="s">
        <v>11</v>
      </c>
      <c r="B285" t="str">
        <f>Manifest[[#This Row],[newID]]</f>
        <v>Ros_Jue_2_05</v>
      </c>
      <c r="C285" t="s">
        <v>4</v>
      </c>
      <c r="D285" t="s">
        <v>62</v>
      </c>
      <c r="E285">
        <v>2</v>
      </c>
      <c r="F285">
        <f>IF(Manifest[[#This Row],[Segment]]=E284,F284+1,1)</f>
        <v>5</v>
      </c>
      <c r="G285" t="str">
        <f>"Ros_"&amp;Manifest[[#This Row],[Day]]&amp;"_"&amp;Manifest[[#This Row],[Segment]]&amp;"_"&amp;TEXT(Manifest[[#This Row],[Seq]],"00")</f>
        <v>Ros_Jue_2_05</v>
      </c>
    </row>
    <row r="286" spans="1:7" x14ac:dyDescent="0.25">
      <c r="A286" t="s">
        <v>11</v>
      </c>
      <c r="B286" t="str">
        <f>Manifest[[#This Row],[newID]]</f>
        <v>Ros_Jue_2_06</v>
      </c>
      <c r="C286" t="s">
        <v>4</v>
      </c>
      <c r="D286" t="s">
        <v>62</v>
      </c>
      <c r="E286">
        <v>2</v>
      </c>
      <c r="F286">
        <f>IF(Manifest[[#This Row],[Segment]]=E285,F285+1,1)</f>
        <v>6</v>
      </c>
      <c r="G286" t="str">
        <f>"Ros_"&amp;Manifest[[#This Row],[Day]]&amp;"_"&amp;Manifest[[#This Row],[Segment]]&amp;"_"&amp;TEXT(Manifest[[#This Row],[Seq]],"00")</f>
        <v>Ros_Jue_2_06</v>
      </c>
    </row>
    <row r="287" spans="1:7" x14ac:dyDescent="0.25">
      <c r="A287" t="s">
        <v>11</v>
      </c>
      <c r="B287" t="str">
        <f>Manifest[[#This Row],[newID]]</f>
        <v>Ros_Jue_2_07</v>
      </c>
      <c r="C287" t="s">
        <v>4</v>
      </c>
      <c r="D287" t="s">
        <v>62</v>
      </c>
      <c r="E287">
        <v>2</v>
      </c>
      <c r="F287">
        <f>IF(Manifest[[#This Row],[Segment]]=E286,F286+1,1)</f>
        <v>7</v>
      </c>
      <c r="G287" t="str">
        <f>"Ros_"&amp;Manifest[[#This Row],[Day]]&amp;"_"&amp;Manifest[[#This Row],[Segment]]&amp;"_"&amp;TEXT(Manifest[[#This Row],[Seq]],"00")</f>
        <v>Ros_Jue_2_07</v>
      </c>
    </row>
    <row r="288" spans="1:7" x14ac:dyDescent="0.25">
      <c r="A288" t="s">
        <v>11</v>
      </c>
      <c r="B288" t="str">
        <f>Manifest[[#This Row],[newID]]</f>
        <v>Ros_Jue_2_08</v>
      </c>
      <c r="C288" t="s">
        <v>4</v>
      </c>
      <c r="D288" t="s">
        <v>62</v>
      </c>
      <c r="E288">
        <v>2</v>
      </c>
      <c r="F288">
        <f>IF(Manifest[[#This Row],[Segment]]=E287,F287+1,1)</f>
        <v>8</v>
      </c>
      <c r="G288" t="str">
        <f>"Ros_"&amp;Manifest[[#This Row],[Day]]&amp;"_"&amp;Manifest[[#This Row],[Segment]]&amp;"_"&amp;TEXT(Manifest[[#This Row],[Seq]],"00")</f>
        <v>Ros_Jue_2_08</v>
      </c>
    </row>
    <row r="289" spans="1:7" x14ac:dyDescent="0.25">
      <c r="A289" t="s">
        <v>11</v>
      </c>
      <c r="B289" t="str">
        <f>Manifest[[#This Row],[newID]]</f>
        <v>Ros_Jue_2_09</v>
      </c>
      <c r="C289" t="s">
        <v>4</v>
      </c>
      <c r="D289" t="s">
        <v>62</v>
      </c>
      <c r="E289">
        <v>2</v>
      </c>
      <c r="F289">
        <f>IF(Manifest[[#This Row],[Segment]]=E288,F288+1,1)</f>
        <v>9</v>
      </c>
      <c r="G289" t="str">
        <f>"Ros_"&amp;Manifest[[#This Row],[Day]]&amp;"_"&amp;Manifest[[#This Row],[Segment]]&amp;"_"&amp;TEXT(Manifest[[#This Row],[Seq]],"00")</f>
        <v>Ros_Jue_2_09</v>
      </c>
    </row>
    <row r="290" spans="1:7" x14ac:dyDescent="0.25">
      <c r="A290" t="s">
        <v>11</v>
      </c>
      <c r="B290" t="str">
        <f>Manifest[[#This Row],[newID]]</f>
        <v>Ros_Jue_2_10</v>
      </c>
      <c r="C290" t="s">
        <v>4</v>
      </c>
      <c r="D290" t="s">
        <v>62</v>
      </c>
      <c r="E290">
        <v>2</v>
      </c>
      <c r="F290">
        <f>IF(Manifest[[#This Row],[Segment]]=E289,F289+1,1)</f>
        <v>10</v>
      </c>
      <c r="G290" t="str">
        <f>"Ros_"&amp;Manifest[[#This Row],[Day]]&amp;"_"&amp;Manifest[[#This Row],[Segment]]&amp;"_"&amp;TEXT(Manifest[[#This Row],[Seq]],"00")</f>
        <v>Ros_Jue_2_10</v>
      </c>
    </row>
    <row r="291" spans="1:7" x14ac:dyDescent="0.25">
      <c r="A291" t="s">
        <v>11</v>
      </c>
      <c r="B291" t="str">
        <f>Manifest[[#This Row],[newID]]</f>
        <v>Ros_Jue_2_11</v>
      </c>
      <c r="C291" t="s">
        <v>4</v>
      </c>
      <c r="D291" t="s">
        <v>62</v>
      </c>
      <c r="E291">
        <v>2</v>
      </c>
      <c r="F291">
        <f>IF(Manifest[[#This Row],[Segment]]=E290,F290+1,1)</f>
        <v>11</v>
      </c>
      <c r="G291" t="str">
        <f>"Ros_"&amp;Manifest[[#This Row],[Day]]&amp;"_"&amp;Manifest[[#This Row],[Segment]]&amp;"_"&amp;TEXT(Manifest[[#This Row],[Seq]],"00")</f>
        <v>Ros_Jue_2_11</v>
      </c>
    </row>
    <row r="292" spans="1:7" x14ac:dyDescent="0.25">
      <c r="A292" t="s">
        <v>11</v>
      </c>
      <c r="B292" t="str">
        <f>Manifest[[#This Row],[newID]]</f>
        <v>Ros_Jue_2_12</v>
      </c>
      <c r="C292" t="s">
        <v>4</v>
      </c>
      <c r="D292" t="s">
        <v>62</v>
      </c>
      <c r="E292">
        <v>2</v>
      </c>
      <c r="F292">
        <f>IF(Manifest[[#This Row],[Segment]]=E291,F291+1,1)</f>
        <v>12</v>
      </c>
      <c r="G292" t="str">
        <f>"Ros_"&amp;Manifest[[#This Row],[Day]]&amp;"_"&amp;Manifest[[#This Row],[Segment]]&amp;"_"&amp;TEXT(Manifest[[#This Row],[Seq]],"00")</f>
        <v>Ros_Jue_2_12</v>
      </c>
    </row>
    <row r="293" spans="1:7" x14ac:dyDescent="0.25">
      <c r="A293" t="s">
        <v>12</v>
      </c>
      <c r="B293" t="str">
        <f>Manifest[[#This Row],[newID]]</f>
        <v>Ros_Jue_2_13</v>
      </c>
      <c r="C293" t="s">
        <v>4</v>
      </c>
      <c r="D293" t="s">
        <v>62</v>
      </c>
      <c r="E293">
        <v>2</v>
      </c>
      <c r="F293">
        <f>IF(Manifest[[#This Row],[Segment]]=E292,F292+1,1)</f>
        <v>13</v>
      </c>
      <c r="G293" t="str">
        <f>"Ros_"&amp;Manifest[[#This Row],[Day]]&amp;"_"&amp;Manifest[[#This Row],[Segment]]&amp;"_"&amp;TEXT(Manifest[[#This Row],[Seq]],"00")</f>
        <v>Ros_Jue_2_13</v>
      </c>
    </row>
    <row r="294" spans="1:7" x14ac:dyDescent="0.25">
      <c r="A294" t="s">
        <v>15</v>
      </c>
      <c r="B294" t="str">
        <f>Manifest[[#This Row],[newID]]</f>
        <v>Ros_Jue_2_14</v>
      </c>
      <c r="C294" t="s">
        <v>4</v>
      </c>
      <c r="D294" t="s">
        <v>62</v>
      </c>
      <c r="E294">
        <v>2</v>
      </c>
      <c r="F294">
        <f>IF(Manifest[[#This Row],[Segment]]=E293,F293+1,1)</f>
        <v>14</v>
      </c>
      <c r="G294" t="str">
        <f>"Ros_"&amp;Manifest[[#This Row],[Day]]&amp;"_"&amp;Manifest[[#This Row],[Segment]]&amp;"_"&amp;TEXT(Manifest[[#This Row],[Seq]],"00")</f>
        <v>Ros_Jue_2_14</v>
      </c>
    </row>
    <row r="295" spans="1:7" x14ac:dyDescent="0.25">
      <c r="A295" t="s">
        <v>48</v>
      </c>
      <c r="B295" t="str">
        <f>Manifest[[#This Row],[newID]]</f>
        <v>Ros_Jue_3_01</v>
      </c>
      <c r="C295" t="s">
        <v>4</v>
      </c>
      <c r="D295" t="s">
        <v>62</v>
      </c>
      <c r="E295">
        <v>3</v>
      </c>
      <c r="F295">
        <f>IF(Manifest[[#This Row],[Segment]]=E294,F294+1,1)</f>
        <v>1</v>
      </c>
      <c r="G295" t="str">
        <f>"Ros_"&amp;Manifest[[#This Row],[Day]]&amp;"_"&amp;Manifest[[#This Row],[Segment]]&amp;"_"&amp;TEXT(Manifest[[#This Row],[Seq]],"00")</f>
        <v>Ros_Jue_3_01</v>
      </c>
    </row>
    <row r="296" spans="1:7" x14ac:dyDescent="0.25">
      <c r="A296" t="s">
        <v>10</v>
      </c>
      <c r="B296" t="str">
        <f>Manifest[[#This Row],[newID]]</f>
        <v>Ros_Jue_3_02</v>
      </c>
      <c r="C296" t="s">
        <v>4</v>
      </c>
      <c r="D296" t="s">
        <v>62</v>
      </c>
      <c r="E296">
        <v>3</v>
      </c>
      <c r="F296">
        <f>IF(Manifest[[#This Row],[Segment]]=E295,F295+1,1)</f>
        <v>2</v>
      </c>
      <c r="G296" t="str">
        <f>"Ros_"&amp;Manifest[[#This Row],[Day]]&amp;"_"&amp;Manifest[[#This Row],[Segment]]&amp;"_"&amp;TEXT(Manifest[[#This Row],[Seq]],"00")</f>
        <v>Ros_Jue_3_02</v>
      </c>
    </row>
    <row r="297" spans="1:7" x14ac:dyDescent="0.25">
      <c r="A297" t="s">
        <v>11</v>
      </c>
      <c r="B297" t="str">
        <f>Manifest[[#This Row],[newID]]</f>
        <v>Ros_Jue_3_03</v>
      </c>
      <c r="C297" t="s">
        <v>4</v>
      </c>
      <c r="D297" t="s">
        <v>62</v>
      </c>
      <c r="E297">
        <v>3</v>
      </c>
      <c r="F297">
        <f>IF(Manifest[[#This Row],[Segment]]=E296,F296+1,1)</f>
        <v>3</v>
      </c>
      <c r="G297" t="str">
        <f>"Ros_"&amp;Manifest[[#This Row],[Day]]&amp;"_"&amp;Manifest[[#This Row],[Segment]]&amp;"_"&amp;TEXT(Manifest[[#This Row],[Seq]],"00")</f>
        <v>Ros_Jue_3_03</v>
      </c>
    </row>
    <row r="298" spans="1:7" x14ac:dyDescent="0.25">
      <c r="A298" t="s">
        <v>11</v>
      </c>
      <c r="B298" t="str">
        <f>Manifest[[#This Row],[newID]]</f>
        <v>Ros_Jue_3_04</v>
      </c>
      <c r="C298" t="s">
        <v>4</v>
      </c>
      <c r="D298" t="s">
        <v>62</v>
      </c>
      <c r="E298">
        <v>3</v>
      </c>
      <c r="F298">
        <f>IF(Manifest[[#This Row],[Segment]]=E297,F297+1,1)</f>
        <v>4</v>
      </c>
      <c r="G298" t="str">
        <f>"Ros_"&amp;Manifest[[#This Row],[Day]]&amp;"_"&amp;Manifest[[#This Row],[Segment]]&amp;"_"&amp;TEXT(Manifest[[#This Row],[Seq]],"00")</f>
        <v>Ros_Jue_3_04</v>
      </c>
    </row>
    <row r="299" spans="1:7" x14ac:dyDescent="0.25">
      <c r="A299" t="s">
        <v>11</v>
      </c>
      <c r="B299" t="str">
        <f>Manifest[[#This Row],[newID]]</f>
        <v>Ros_Jue_3_05</v>
      </c>
      <c r="C299" t="s">
        <v>4</v>
      </c>
      <c r="D299" t="s">
        <v>62</v>
      </c>
      <c r="E299">
        <v>3</v>
      </c>
      <c r="F299">
        <f>IF(Manifest[[#This Row],[Segment]]=E298,F298+1,1)</f>
        <v>5</v>
      </c>
      <c r="G299" t="str">
        <f>"Ros_"&amp;Manifest[[#This Row],[Day]]&amp;"_"&amp;Manifest[[#This Row],[Segment]]&amp;"_"&amp;TEXT(Manifest[[#This Row],[Seq]],"00")</f>
        <v>Ros_Jue_3_05</v>
      </c>
    </row>
    <row r="300" spans="1:7" x14ac:dyDescent="0.25">
      <c r="A300" t="s">
        <v>11</v>
      </c>
      <c r="B300" t="str">
        <f>Manifest[[#This Row],[newID]]</f>
        <v>Ros_Jue_3_06</v>
      </c>
      <c r="C300" t="s">
        <v>4</v>
      </c>
      <c r="D300" t="s">
        <v>62</v>
      </c>
      <c r="E300">
        <v>3</v>
      </c>
      <c r="F300">
        <f>IF(Manifest[[#This Row],[Segment]]=E299,F299+1,1)</f>
        <v>6</v>
      </c>
      <c r="G300" t="str">
        <f>"Ros_"&amp;Manifest[[#This Row],[Day]]&amp;"_"&amp;Manifest[[#This Row],[Segment]]&amp;"_"&amp;TEXT(Manifest[[#This Row],[Seq]],"00")</f>
        <v>Ros_Jue_3_06</v>
      </c>
    </row>
    <row r="301" spans="1:7" x14ac:dyDescent="0.25">
      <c r="A301" t="s">
        <v>11</v>
      </c>
      <c r="B301" t="str">
        <f>Manifest[[#This Row],[newID]]</f>
        <v>Ros_Jue_3_07</v>
      </c>
      <c r="C301" t="s">
        <v>4</v>
      </c>
      <c r="D301" t="s">
        <v>62</v>
      </c>
      <c r="E301">
        <v>3</v>
      </c>
      <c r="F301">
        <f>IF(Manifest[[#This Row],[Segment]]=E300,F300+1,1)</f>
        <v>7</v>
      </c>
      <c r="G301" t="str">
        <f>"Ros_"&amp;Manifest[[#This Row],[Day]]&amp;"_"&amp;Manifest[[#This Row],[Segment]]&amp;"_"&amp;TEXT(Manifest[[#This Row],[Seq]],"00")</f>
        <v>Ros_Jue_3_07</v>
      </c>
    </row>
    <row r="302" spans="1:7" x14ac:dyDescent="0.25">
      <c r="A302" t="s">
        <v>11</v>
      </c>
      <c r="B302" t="str">
        <f>Manifest[[#This Row],[newID]]</f>
        <v>Ros_Jue_3_08</v>
      </c>
      <c r="C302" t="s">
        <v>4</v>
      </c>
      <c r="D302" t="s">
        <v>62</v>
      </c>
      <c r="E302">
        <v>3</v>
      </c>
      <c r="F302">
        <f>IF(Manifest[[#This Row],[Segment]]=E301,F301+1,1)</f>
        <v>8</v>
      </c>
      <c r="G302" t="str">
        <f>"Ros_"&amp;Manifest[[#This Row],[Day]]&amp;"_"&amp;Manifest[[#This Row],[Segment]]&amp;"_"&amp;TEXT(Manifest[[#This Row],[Seq]],"00")</f>
        <v>Ros_Jue_3_08</v>
      </c>
    </row>
    <row r="303" spans="1:7" x14ac:dyDescent="0.25">
      <c r="A303" t="s">
        <v>11</v>
      </c>
      <c r="B303" t="str">
        <f>Manifest[[#This Row],[newID]]</f>
        <v>Ros_Jue_3_09</v>
      </c>
      <c r="C303" t="s">
        <v>4</v>
      </c>
      <c r="D303" t="s">
        <v>62</v>
      </c>
      <c r="E303">
        <v>3</v>
      </c>
      <c r="F303">
        <f>IF(Manifest[[#This Row],[Segment]]=E302,F302+1,1)</f>
        <v>9</v>
      </c>
      <c r="G303" t="str">
        <f>"Ros_"&amp;Manifest[[#This Row],[Day]]&amp;"_"&amp;Manifest[[#This Row],[Segment]]&amp;"_"&amp;TEXT(Manifest[[#This Row],[Seq]],"00")</f>
        <v>Ros_Jue_3_09</v>
      </c>
    </row>
    <row r="304" spans="1:7" x14ac:dyDescent="0.25">
      <c r="A304" t="s">
        <v>11</v>
      </c>
      <c r="B304" t="str">
        <f>Manifest[[#This Row],[newID]]</f>
        <v>Ros_Jue_3_10</v>
      </c>
      <c r="C304" t="s">
        <v>4</v>
      </c>
      <c r="D304" t="s">
        <v>62</v>
      </c>
      <c r="E304">
        <v>3</v>
      </c>
      <c r="F304">
        <f>IF(Manifest[[#This Row],[Segment]]=E303,F303+1,1)</f>
        <v>10</v>
      </c>
      <c r="G304" t="str">
        <f>"Ros_"&amp;Manifest[[#This Row],[Day]]&amp;"_"&amp;Manifest[[#This Row],[Segment]]&amp;"_"&amp;TEXT(Manifest[[#This Row],[Seq]],"00")</f>
        <v>Ros_Jue_3_10</v>
      </c>
    </row>
    <row r="305" spans="1:7" x14ac:dyDescent="0.25">
      <c r="A305" t="s">
        <v>11</v>
      </c>
      <c r="B305" t="str">
        <f>Manifest[[#This Row],[newID]]</f>
        <v>Ros_Jue_3_11</v>
      </c>
      <c r="C305" t="s">
        <v>4</v>
      </c>
      <c r="D305" t="s">
        <v>62</v>
      </c>
      <c r="E305">
        <v>3</v>
      </c>
      <c r="F305">
        <f>IF(Manifest[[#This Row],[Segment]]=E304,F304+1,1)</f>
        <v>11</v>
      </c>
      <c r="G305" t="str">
        <f>"Ros_"&amp;Manifest[[#This Row],[Day]]&amp;"_"&amp;Manifest[[#This Row],[Segment]]&amp;"_"&amp;TEXT(Manifest[[#This Row],[Seq]],"00")</f>
        <v>Ros_Jue_3_11</v>
      </c>
    </row>
    <row r="306" spans="1:7" x14ac:dyDescent="0.25">
      <c r="A306" t="s">
        <v>11</v>
      </c>
      <c r="B306" t="str">
        <f>Manifest[[#This Row],[newID]]</f>
        <v>Ros_Jue_3_12</v>
      </c>
      <c r="C306" t="s">
        <v>4</v>
      </c>
      <c r="D306" t="s">
        <v>62</v>
      </c>
      <c r="E306">
        <v>3</v>
      </c>
      <c r="F306">
        <f>IF(Manifest[[#This Row],[Segment]]=E305,F305+1,1)</f>
        <v>12</v>
      </c>
      <c r="G306" t="str">
        <f>"Ros_"&amp;Manifest[[#This Row],[Day]]&amp;"_"&amp;Manifest[[#This Row],[Segment]]&amp;"_"&amp;TEXT(Manifest[[#This Row],[Seq]],"00")</f>
        <v>Ros_Jue_3_12</v>
      </c>
    </row>
    <row r="307" spans="1:7" x14ac:dyDescent="0.25">
      <c r="A307" t="s">
        <v>12</v>
      </c>
      <c r="B307" t="str">
        <f>Manifest[[#This Row],[newID]]</f>
        <v>Ros_Jue_3_13</v>
      </c>
      <c r="C307" t="s">
        <v>4</v>
      </c>
      <c r="D307" t="s">
        <v>62</v>
      </c>
      <c r="E307">
        <v>3</v>
      </c>
      <c r="F307">
        <f>IF(Manifest[[#This Row],[Segment]]=E306,F306+1,1)</f>
        <v>13</v>
      </c>
      <c r="G307" t="str">
        <f>"Ros_"&amp;Manifest[[#This Row],[Day]]&amp;"_"&amp;Manifest[[#This Row],[Segment]]&amp;"_"&amp;TEXT(Manifest[[#This Row],[Seq]],"00")</f>
        <v>Ros_Jue_3_13</v>
      </c>
    </row>
    <row r="308" spans="1:7" x14ac:dyDescent="0.25">
      <c r="A308" t="s">
        <v>15</v>
      </c>
      <c r="B308" t="str">
        <f>Manifest[[#This Row],[newID]]</f>
        <v>Ros_Jue_3_14</v>
      </c>
      <c r="C308" t="s">
        <v>4</v>
      </c>
      <c r="D308" t="s">
        <v>62</v>
      </c>
      <c r="E308">
        <v>3</v>
      </c>
      <c r="F308">
        <f>IF(Manifest[[#This Row],[Segment]]=E307,F307+1,1)</f>
        <v>14</v>
      </c>
      <c r="G308" t="str">
        <f>"Ros_"&amp;Manifest[[#This Row],[Day]]&amp;"_"&amp;Manifest[[#This Row],[Segment]]&amp;"_"&amp;TEXT(Manifest[[#This Row],[Seq]],"00")</f>
        <v>Ros_Jue_3_14</v>
      </c>
    </row>
    <row r="309" spans="1:7" x14ac:dyDescent="0.25">
      <c r="A309" t="s">
        <v>49</v>
      </c>
      <c r="B309" t="str">
        <f>Manifest[[#This Row],[newID]]</f>
        <v>Ros_Jue_4_01</v>
      </c>
      <c r="C309" t="s">
        <v>4</v>
      </c>
      <c r="D309" t="s">
        <v>62</v>
      </c>
      <c r="E309">
        <v>4</v>
      </c>
      <c r="F309">
        <f>IF(Manifest[[#This Row],[Segment]]=E308,F308+1,1)</f>
        <v>1</v>
      </c>
      <c r="G309" t="str">
        <f>"Ros_"&amp;Manifest[[#This Row],[Day]]&amp;"_"&amp;Manifest[[#This Row],[Segment]]&amp;"_"&amp;TEXT(Manifest[[#This Row],[Seq]],"00")</f>
        <v>Ros_Jue_4_01</v>
      </c>
    </row>
    <row r="310" spans="1:7" x14ac:dyDescent="0.25">
      <c r="A310" t="s">
        <v>10</v>
      </c>
      <c r="B310" t="str">
        <f>Manifest[[#This Row],[newID]]</f>
        <v>Ros_Jue_4_02</v>
      </c>
      <c r="C310" t="s">
        <v>4</v>
      </c>
      <c r="D310" t="s">
        <v>62</v>
      </c>
      <c r="E310">
        <v>4</v>
      </c>
      <c r="F310">
        <f>IF(Manifest[[#This Row],[Segment]]=E309,F309+1,1)</f>
        <v>2</v>
      </c>
      <c r="G310" t="str">
        <f>"Ros_"&amp;Manifest[[#This Row],[Day]]&amp;"_"&amp;Manifest[[#This Row],[Segment]]&amp;"_"&amp;TEXT(Manifest[[#This Row],[Seq]],"00")</f>
        <v>Ros_Jue_4_02</v>
      </c>
    </row>
    <row r="311" spans="1:7" x14ac:dyDescent="0.25">
      <c r="A311" t="s">
        <v>11</v>
      </c>
      <c r="B311" t="str">
        <f>Manifest[[#This Row],[newID]]</f>
        <v>Ros_Jue_4_03</v>
      </c>
      <c r="C311" t="s">
        <v>4</v>
      </c>
      <c r="D311" t="s">
        <v>62</v>
      </c>
      <c r="E311">
        <v>4</v>
      </c>
      <c r="F311">
        <f>IF(Manifest[[#This Row],[Segment]]=E310,F310+1,1)</f>
        <v>3</v>
      </c>
      <c r="G311" t="str">
        <f>"Ros_"&amp;Manifest[[#This Row],[Day]]&amp;"_"&amp;Manifest[[#This Row],[Segment]]&amp;"_"&amp;TEXT(Manifest[[#This Row],[Seq]],"00")</f>
        <v>Ros_Jue_4_03</v>
      </c>
    </row>
    <row r="312" spans="1:7" x14ac:dyDescent="0.25">
      <c r="A312" t="s">
        <v>11</v>
      </c>
      <c r="B312" t="str">
        <f>Manifest[[#This Row],[newID]]</f>
        <v>Ros_Jue_4_04</v>
      </c>
      <c r="C312" t="s">
        <v>4</v>
      </c>
      <c r="D312" t="s">
        <v>62</v>
      </c>
      <c r="E312">
        <v>4</v>
      </c>
      <c r="F312">
        <f>IF(Manifest[[#This Row],[Segment]]=E311,F311+1,1)</f>
        <v>4</v>
      </c>
      <c r="G312" t="str">
        <f>"Ros_"&amp;Manifest[[#This Row],[Day]]&amp;"_"&amp;Manifest[[#This Row],[Segment]]&amp;"_"&amp;TEXT(Manifest[[#This Row],[Seq]],"00")</f>
        <v>Ros_Jue_4_04</v>
      </c>
    </row>
    <row r="313" spans="1:7" x14ac:dyDescent="0.25">
      <c r="A313" t="s">
        <v>11</v>
      </c>
      <c r="B313" t="str">
        <f>Manifest[[#This Row],[newID]]</f>
        <v>Ros_Jue_4_05</v>
      </c>
      <c r="C313" t="s">
        <v>4</v>
      </c>
      <c r="D313" t="s">
        <v>62</v>
      </c>
      <c r="E313">
        <v>4</v>
      </c>
      <c r="F313">
        <f>IF(Manifest[[#This Row],[Segment]]=E312,F312+1,1)</f>
        <v>5</v>
      </c>
      <c r="G313" t="str">
        <f>"Ros_"&amp;Manifest[[#This Row],[Day]]&amp;"_"&amp;Manifest[[#This Row],[Segment]]&amp;"_"&amp;TEXT(Manifest[[#This Row],[Seq]],"00")</f>
        <v>Ros_Jue_4_05</v>
      </c>
    </row>
    <row r="314" spans="1:7" x14ac:dyDescent="0.25">
      <c r="A314" t="s">
        <v>11</v>
      </c>
      <c r="B314" t="str">
        <f>Manifest[[#This Row],[newID]]</f>
        <v>Ros_Jue_4_06</v>
      </c>
      <c r="C314" t="s">
        <v>4</v>
      </c>
      <c r="D314" t="s">
        <v>62</v>
      </c>
      <c r="E314">
        <v>4</v>
      </c>
      <c r="F314">
        <f>IF(Manifest[[#This Row],[Segment]]=E313,F313+1,1)</f>
        <v>6</v>
      </c>
      <c r="G314" t="str">
        <f>"Ros_"&amp;Manifest[[#This Row],[Day]]&amp;"_"&amp;Manifest[[#This Row],[Segment]]&amp;"_"&amp;TEXT(Manifest[[#This Row],[Seq]],"00")</f>
        <v>Ros_Jue_4_06</v>
      </c>
    </row>
    <row r="315" spans="1:7" x14ac:dyDescent="0.25">
      <c r="A315" t="s">
        <v>11</v>
      </c>
      <c r="B315" t="str">
        <f>Manifest[[#This Row],[newID]]</f>
        <v>Ros_Jue_4_07</v>
      </c>
      <c r="C315" t="s">
        <v>4</v>
      </c>
      <c r="D315" t="s">
        <v>62</v>
      </c>
      <c r="E315">
        <v>4</v>
      </c>
      <c r="F315">
        <f>IF(Manifest[[#This Row],[Segment]]=E314,F314+1,1)</f>
        <v>7</v>
      </c>
      <c r="G315" t="str">
        <f>"Ros_"&amp;Manifest[[#This Row],[Day]]&amp;"_"&amp;Manifest[[#This Row],[Segment]]&amp;"_"&amp;TEXT(Manifest[[#This Row],[Seq]],"00")</f>
        <v>Ros_Jue_4_07</v>
      </c>
    </row>
    <row r="316" spans="1:7" x14ac:dyDescent="0.25">
      <c r="A316" t="s">
        <v>11</v>
      </c>
      <c r="B316" t="str">
        <f>Manifest[[#This Row],[newID]]</f>
        <v>Ros_Jue_4_08</v>
      </c>
      <c r="C316" t="s">
        <v>4</v>
      </c>
      <c r="D316" t="s">
        <v>62</v>
      </c>
      <c r="E316">
        <v>4</v>
      </c>
      <c r="F316">
        <f>IF(Manifest[[#This Row],[Segment]]=E315,F315+1,1)</f>
        <v>8</v>
      </c>
      <c r="G316" t="str">
        <f>"Ros_"&amp;Manifest[[#This Row],[Day]]&amp;"_"&amp;Manifest[[#This Row],[Segment]]&amp;"_"&amp;TEXT(Manifest[[#This Row],[Seq]],"00")</f>
        <v>Ros_Jue_4_08</v>
      </c>
    </row>
    <row r="317" spans="1:7" x14ac:dyDescent="0.25">
      <c r="A317" t="s">
        <v>11</v>
      </c>
      <c r="B317" t="str">
        <f>Manifest[[#This Row],[newID]]</f>
        <v>Ros_Jue_4_09</v>
      </c>
      <c r="C317" t="s">
        <v>4</v>
      </c>
      <c r="D317" t="s">
        <v>62</v>
      </c>
      <c r="E317">
        <v>4</v>
      </c>
      <c r="F317">
        <f>IF(Manifest[[#This Row],[Segment]]=E316,F316+1,1)</f>
        <v>9</v>
      </c>
      <c r="G317" t="str">
        <f>"Ros_"&amp;Manifest[[#This Row],[Day]]&amp;"_"&amp;Manifest[[#This Row],[Segment]]&amp;"_"&amp;TEXT(Manifest[[#This Row],[Seq]],"00")</f>
        <v>Ros_Jue_4_09</v>
      </c>
    </row>
    <row r="318" spans="1:7" x14ac:dyDescent="0.25">
      <c r="A318" t="s">
        <v>11</v>
      </c>
      <c r="B318" t="str">
        <f>Manifest[[#This Row],[newID]]</f>
        <v>Ros_Jue_4_10</v>
      </c>
      <c r="C318" t="s">
        <v>4</v>
      </c>
      <c r="D318" t="s">
        <v>62</v>
      </c>
      <c r="E318">
        <v>4</v>
      </c>
      <c r="F318">
        <f>IF(Manifest[[#This Row],[Segment]]=E317,F317+1,1)</f>
        <v>10</v>
      </c>
      <c r="G318" t="str">
        <f>"Ros_"&amp;Manifest[[#This Row],[Day]]&amp;"_"&amp;Manifest[[#This Row],[Segment]]&amp;"_"&amp;TEXT(Manifest[[#This Row],[Seq]],"00")</f>
        <v>Ros_Jue_4_10</v>
      </c>
    </row>
    <row r="319" spans="1:7" x14ac:dyDescent="0.25">
      <c r="A319" t="s">
        <v>11</v>
      </c>
      <c r="B319" t="str">
        <f>Manifest[[#This Row],[newID]]</f>
        <v>Ros_Jue_4_11</v>
      </c>
      <c r="C319" t="s">
        <v>4</v>
      </c>
      <c r="D319" t="s">
        <v>62</v>
      </c>
      <c r="E319">
        <v>4</v>
      </c>
      <c r="F319">
        <f>IF(Manifest[[#This Row],[Segment]]=E318,F318+1,1)</f>
        <v>11</v>
      </c>
      <c r="G319" t="str">
        <f>"Ros_"&amp;Manifest[[#This Row],[Day]]&amp;"_"&amp;Manifest[[#This Row],[Segment]]&amp;"_"&amp;TEXT(Manifest[[#This Row],[Seq]],"00")</f>
        <v>Ros_Jue_4_11</v>
      </c>
    </row>
    <row r="320" spans="1:7" x14ac:dyDescent="0.25">
      <c r="A320" t="s">
        <v>11</v>
      </c>
      <c r="B320" t="str">
        <f>Manifest[[#This Row],[newID]]</f>
        <v>Ros_Jue_4_12</v>
      </c>
      <c r="C320" t="s">
        <v>4</v>
      </c>
      <c r="D320" t="s">
        <v>62</v>
      </c>
      <c r="E320">
        <v>4</v>
      </c>
      <c r="F320">
        <f>IF(Manifest[[#This Row],[Segment]]=E319,F319+1,1)</f>
        <v>12</v>
      </c>
      <c r="G320" t="str">
        <f>"Ros_"&amp;Manifest[[#This Row],[Day]]&amp;"_"&amp;Manifest[[#This Row],[Segment]]&amp;"_"&amp;TEXT(Manifest[[#This Row],[Seq]],"00")</f>
        <v>Ros_Jue_4_12</v>
      </c>
    </row>
    <row r="321" spans="1:7" x14ac:dyDescent="0.25">
      <c r="A321" t="s">
        <v>12</v>
      </c>
      <c r="B321" t="str">
        <f>Manifest[[#This Row],[newID]]</f>
        <v>Ros_Jue_4_13</v>
      </c>
      <c r="C321" t="s">
        <v>4</v>
      </c>
      <c r="D321" t="s">
        <v>62</v>
      </c>
      <c r="E321">
        <v>4</v>
      </c>
      <c r="F321">
        <f>IF(Manifest[[#This Row],[Segment]]=E320,F320+1,1)</f>
        <v>13</v>
      </c>
      <c r="G321" t="str">
        <f>"Ros_"&amp;Manifest[[#This Row],[Day]]&amp;"_"&amp;Manifest[[#This Row],[Segment]]&amp;"_"&amp;TEXT(Manifest[[#This Row],[Seq]],"00")</f>
        <v>Ros_Jue_4_13</v>
      </c>
    </row>
    <row r="322" spans="1:7" x14ac:dyDescent="0.25">
      <c r="A322" t="s">
        <v>15</v>
      </c>
      <c r="B322" t="str">
        <f>Manifest[[#This Row],[newID]]</f>
        <v>Ros_Jue_4_14</v>
      </c>
      <c r="C322" t="s">
        <v>4</v>
      </c>
      <c r="D322" t="s">
        <v>62</v>
      </c>
      <c r="E322">
        <v>4</v>
      </c>
      <c r="F322">
        <f>IF(Manifest[[#This Row],[Segment]]=E321,F321+1,1)</f>
        <v>14</v>
      </c>
      <c r="G322" t="str">
        <f>"Ros_"&amp;Manifest[[#This Row],[Day]]&amp;"_"&amp;Manifest[[#This Row],[Segment]]&amp;"_"&amp;TEXT(Manifest[[#This Row],[Seq]],"00")</f>
        <v>Ros_Jue_4_14</v>
      </c>
    </row>
    <row r="323" spans="1:7" x14ac:dyDescent="0.25">
      <c r="A323" t="s">
        <v>50</v>
      </c>
      <c r="B323" t="str">
        <f>Manifest[[#This Row],[newID]]</f>
        <v>Ros_Jue_5_01</v>
      </c>
      <c r="C323" t="s">
        <v>4</v>
      </c>
      <c r="D323" t="s">
        <v>62</v>
      </c>
      <c r="E323">
        <v>5</v>
      </c>
      <c r="F323">
        <f>IF(Manifest[[#This Row],[Segment]]=E322,F322+1,1)</f>
        <v>1</v>
      </c>
      <c r="G323" t="str">
        <f>"Ros_"&amp;Manifest[[#This Row],[Day]]&amp;"_"&amp;Manifest[[#This Row],[Segment]]&amp;"_"&amp;TEXT(Manifest[[#This Row],[Seq]],"00")</f>
        <v>Ros_Jue_5_01</v>
      </c>
    </row>
    <row r="324" spans="1:7" x14ac:dyDescent="0.25">
      <c r="A324" t="s">
        <v>10</v>
      </c>
      <c r="B324" t="str">
        <f>Manifest[[#This Row],[newID]]</f>
        <v>Ros_Jue_5_02</v>
      </c>
      <c r="C324" t="s">
        <v>4</v>
      </c>
      <c r="D324" t="s">
        <v>62</v>
      </c>
      <c r="E324">
        <v>5</v>
      </c>
      <c r="F324">
        <f>IF(Manifest[[#This Row],[Segment]]=E323,F323+1,1)</f>
        <v>2</v>
      </c>
      <c r="G324" t="str">
        <f>"Ros_"&amp;Manifest[[#This Row],[Day]]&amp;"_"&amp;Manifest[[#This Row],[Segment]]&amp;"_"&amp;TEXT(Manifest[[#This Row],[Seq]],"00")</f>
        <v>Ros_Jue_5_02</v>
      </c>
    </row>
    <row r="325" spans="1:7" x14ac:dyDescent="0.25">
      <c r="A325" t="s">
        <v>11</v>
      </c>
      <c r="B325" t="str">
        <f>Manifest[[#This Row],[newID]]</f>
        <v>Ros_Jue_5_03</v>
      </c>
      <c r="C325" t="s">
        <v>4</v>
      </c>
      <c r="D325" t="s">
        <v>62</v>
      </c>
      <c r="E325">
        <v>5</v>
      </c>
      <c r="F325">
        <f>IF(Manifest[[#This Row],[Segment]]=E324,F324+1,1)</f>
        <v>3</v>
      </c>
      <c r="G325" t="str">
        <f>"Ros_"&amp;Manifest[[#This Row],[Day]]&amp;"_"&amp;Manifest[[#This Row],[Segment]]&amp;"_"&amp;TEXT(Manifest[[#This Row],[Seq]],"00")</f>
        <v>Ros_Jue_5_03</v>
      </c>
    </row>
    <row r="326" spans="1:7" x14ac:dyDescent="0.25">
      <c r="A326" t="s">
        <v>11</v>
      </c>
      <c r="B326" t="str">
        <f>Manifest[[#This Row],[newID]]</f>
        <v>Ros_Jue_5_04</v>
      </c>
      <c r="C326" t="s">
        <v>4</v>
      </c>
      <c r="D326" t="s">
        <v>62</v>
      </c>
      <c r="E326">
        <v>5</v>
      </c>
      <c r="F326">
        <f>IF(Manifest[[#This Row],[Segment]]=E325,F325+1,1)</f>
        <v>4</v>
      </c>
      <c r="G326" t="str">
        <f>"Ros_"&amp;Manifest[[#This Row],[Day]]&amp;"_"&amp;Manifest[[#This Row],[Segment]]&amp;"_"&amp;TEXT(Manifest[[#This Row],[Seq]],"00")</f>
        <v>Ros_Jue_5_04</v>
      </c>
    </row>
    <row r="327" spans="1:7" x14ac:dyDescent="0.25">
      <c r="A327" t="s">
        <v>11</v>
      </c>
      <c r="B327" t="str">
        <f>Manifest[[#This Row],[newID]]</f>
        <v>Ros_Jue_5_05</v>
      </c>
      <c r="C327" t="s">
        <v>4</v>
      </c>
      <c r="D327" t="s">
        <v>62</v>
      </c>
      <c r="E327">
        <v>5</v>
      </c>
      <c r="F327">
        <f>IF(Manifest[[#This Row],[Segment]]=E326,F326+1,1)</f>
        <v>5</v>
      </c>
      <c r="G327" t="str">
        <f>"Ros_"&amp;Manifest[[#This Row],[Day]]&amp;"_"&amp;Manifest[[#This Row],[Segment]]&amp;"_"&amp;TEXT(Manifest[[#This Row],[Seq]],"00")</f>
        <v>Ros_Jue_5_05</v>
      </c>
    </row>
    <row r="328" spans="1:7" x14ac:dyDescent="0.25">
      <c r="A328" t="s">
        <v>11</v>
      </c>
      <c r="B328" t="str">
        <f>Manifest[[#This Row],[newID]]</f>
        <v>Ros_Jue_5_06</v>
      </c>
      <c r="C328" t="s">
        <v>4</v>
      </c>
      <c r="D328" t="s">
        <v>62</v>
      </c>
      <c r="E328">
        <v>5</v>
      </c>
      <c r="F328">
        <f>IF(Manifest[[#This Row],[Segment]]=E327,F327+1,1)</f>
        <v>6</v>
      </c>
      <c r="G328" t="str">
        <f>"Ros_"&amp;Manifest[[#This Row],[Day]]&amp;"_"&amp;Manifest[[#This Row],[Segment]]&amp;"_"&amp;TEXT(Manifest[[#This Row],[Seq]],"00")</f>
        <v>Ros_Jue_5_06</v>
      </c>
    </row>
    <row r="329" spans="1:7" x14ac:dyDescent="0.25">
      <c r="A329" t="s">
        <v>11</v>
      </c>
      <c r="B329" t="str">
        <f>Manifest[[#This Row],[newID]]</f>
        <v>Ros_Jue_5_07</v>
      </c>
      <c r="C329" t="s">
        <v>4</v>
      </c>
      <c r="D329" t="s">
        <v>62</v>
      </c>
      <c r="E329">
        <v>5</v>
      </c>
      <c r="F329">
        <f>IF(Manifest[[#This Row],[Segment]]=E328,F328+1,1)</f>
        <v>7</v>
      </c>
      <c r="G329" t="str">
        <f>"Ros_"&amp;Manifest[[#This Row],[Day]]&amp;"_"&amp;Manifest[[#This Row],[Segment]]&amp;"_"&amp;TEXT(Manifest[[#This Row],[Seq]],"00")</f>
        <v>Ros_Jue_5_07</v>
      </c>
    </row>
    <row r="330" spans="1:7" x14ac:dyDescent="0.25">
      <c r="A330" t="s">
        <v>11</v>
      </c>
      <c r="B330" t="str">
        <f>Manifest[[#This Row],[newID]]</f>
        <v>Ros_Jue_5_08</v>
      </c>
      <c r="C330" t="s">
        <v>4</v>
      </c>
      <c r="D330" t="s">
        <v>62</v>
      </c>
      <c r="E330">
        <v>5</v>
      </c>
      <c r="F330">
        <f>IF(Manifest[[#This Row],[Segment]]=E329,F329+1,1)</f>
        <v>8</v>
      </c>
      <c r="G330" t="str">
        <f>"Ros_"&amp;Manifest[[#This Row],[Day]]&amp;"_"&amp;Manifest[[#This Row],[Segment]]&amp;"_"&amp;TEXT(Manifest[[#This Row],[Seq]],"00")</f>
        <v>Ros_Jue_5_08</v>
      </c>
    </row>
    <row r="331" spans="1:7" x14ac:dyDescent="0.25">
      <c r="A331" t="s">
        <v>11</v>
      </c>
      <c r="B331" t="str">
        <f>Manifest[[#This Row],[newID]]</f>
        <v>Ros_Jue_5_09</v>
      </c>
      <c r="C331" t="s">
        <v>4</v>
      </c>
      <c r="D331" t="s">
        <v>62</v>
      </c>
      <c r="E331">
        <v>5</v>
      </c>
      <c r="F331">
        <f>IF(Manifest[[#This Row],[Segment]]=E330,F330+1,1)</f>
        <v>9</v>
      </c>
      <c r="G331" t="str">
        <f>"Ros_"&amp;Manifest[[#This Row],[Day]]&amp;"_"&amp;Manifest[[#This Row],[Segment]]&amp;"_"&amp;TEXT(Manifest[[#This Row],[Seq]],"00")</f>
        <v>Ros_Jue_5_09</v>
      </c>
    </row>
    <row r="332" spans="1:7" x14ac:dyDescent="0.25">
      <c r="A332" t="s">
        <v>11</v>
      </c>
      <c r="B332" t="str">
        <f>Manifest[[#This Row],[newID]]</f>
        <v>Ros_Jue_5_10</v>
      </c>
      <c r="C332" t="s">
        <v>4</v>
      </c>
      <c r="D332" t="s">
        <v>62</v>
      </c>
      <c r="E332">
        <v>5</v>
      </c>
      <c r="F332">
        <f>IF(Manifest[[#This Row],[Segment]]=E331,F331+1,1)</f>
        <v>10</v>
      </c>
      <c r="G332" t="str">
        <f>"Ros_"&amp;Manifest[[#This Row],[Day]]&amp;"_"&amp;Manifest[[#This Row],[Segment]]&amp;"_"&amp;TEXT(Manifest[[#This Row],[Seq]],"00")</f>
        <v>Ros_Jue_5_10</v>
      </c>
    </row>
    <row r="333" spans="1:7" x14ac:dyDescent="0.25">
      <c r="A333" t="s">
        <v>11</v>
      </c>
      <c r="B333" t="str">
        <f>Manifest[[#This Row],[newID]]</f>
        <v>Ros_Jue_5_11</v>
      </c>
      <c r="C333" t="s">
        <v>4</v>
      </c>
      <c r="D333" t="s">
        <v>62</v>
      </c>
      <c r="E333">
        <v>5</v>
      </c>
      <c r="F333">
        <f>IF(Manifest[[#This Row],[Segment]]=E332,F332+1,1)</f>
        <v>11</v>
      </c>
      <c r="G333" t="str">
        <f>"Ros_"&amp;Manifest[[#This Row],[Day]]&amp;"_"&amp;Manifest[[#This Row],[Segment]]&amp;"_"&amp;TEXT(Manifest[[#This Row],[Seq]],"00")</f>
        <v>Ros_Jue_5_11</v>
      </c>
    </row>
    <row r="334" spans="1:7" x14ac:dyDescent="0.25">
      <c r="A334" t="s">
        <v>11</v>
      </c>
      <c r="B334" t="str">
        <f>Manifest[[#This Row],[newID]]</f>
        <v>Ros_Jue_5_12</v>
      </c>
      <c r="C334" t="s">
        <v>4</v>
      </c>
      <c r="D334" t="s">
        <v>62</v>
      </c>
      <c r="E334">
        <v>5</v>
      </c>
      <c r="F334">
        <f>IF(Manifest[[#This Row],[Segment]]=E333,F333+1,1)</f>
        <v>12</v>
      </c>
      <c r="G334" t="str">
        <f>"Ros_"&amp;Manifest[[#This Row],[Day]]&amp;"_"&amp;Manifest[[#This Row],[Segment]]&amp;"_"&amp;TEXT(Manifest[[#This Row],[Seq]],"00")</f>
        <v>Ros_Jue_5_12</v>
      </c>
    </row>
    <row r="335" spans="1:7" x14ac:dyDescent="0.25">
      <c r="A335" t="s">
        <v>12</v>
      </c>
      <c r="B335" t="str">
        <f>Manifest[[#This Row],[newID]]</f>
        <v>Ros_Jue_5_13</v>
      </c>
      <c r="C335" t="s">
        <v>4</v>
      </c>
      <c r="D335" t="s">
        <v>62</v>
      </c>
      <c r="E335">
        <v>5</v>
      </c>
      <c r="F335">
        <f>IF(Manifest[[#This Row],[Segment]]=E334,F334+1,1)</f>
        <v>13</v>
      </c>
      <c r="G335" t="str">
        <f>"Ros_"&amp;Manifest[[#This Row],[Day]]&amp;"_"&amp;Manifest[[#This Row],[Segment]]&amp;"_"&amp;TEXT(Manifest[[#This Row],[Seq]],"00")</f>
        <v>Ros_Jue_5_13</v>
      </c>
    </row>
    <row r="336" spans="1:7" x14ac:dyDescent="0.25">
      <c r="A336" t="s">
        <v>15</v>
      </c>
      <c r="B336" t="str">
        <f>Manifest[[#This Row],[newID]]</f>
        <v>Ros_Jue_5_14</v>
      </c>
      <c r="C336" t="s">
        <v>4</v>
      </c>
      <c r="D336" t="s">
        <v>62</v>
      </c>
      <c r="E336">
        <v>5</v>
      </c>
      <c r="F336">
        <f>IF(Manifest[[#This Row],[Segment]]=E335,F335+1,1)</f>
        <v>14</v>
      </c>
      <c r="G336" t="str">
        <f>"Ros_"&amp;Manifest[[#This Row],[Day]]&amp;"_"&amp;Manifest[[#This Row],[Segment]]&amp;"_"&amp;TEXT(Manifest[[#This Row],[Seq]],"00")</f>
        <v>Ros_Jue_5_14</v>
      </c>
    </row>
    <row r="337" spans="1:7" x14ac:dyDescent="0.25">
      <c r="A337" t="s">
        <v>20</v>
      </c>
      <c r="B337" t="str">
        <f>Manifest[[#This Row],[newID]]</f>
        <v>Ros_Jue_6_01</v>
      </c>
      <c r="C337" t="s">
        <v>4</v>
      </c>
      <c r="D337" t="s">
        <v>62</v>
      </c>
      <c r="E337">
        <v>6</v>
      </c>
      <c r="F337">
        <f>IF(Manifest[[#This Row],[Segment]]=E336,F336+1,1)</f>
        <v>1</v>
      </c>
      <c r="G337" t="str">
        <f>"Ros_"&amp;Manifest[[#This Row],[Day]]&amp;"_"&amp;Manifest[[#This Row],[Segment]]&amp;"_"&amp;TEXT(Manifest[[#This Row],[Seq]],"00")</f>
        <v>Ros_Jue_6_01</v>
      </c>
    </row>
    <row r="338" spans="1:7" x14ac:dyDescent="0.25">
      <c r="A338" t="s">
        <v>21</v>
      </c>
      <c r="B338" t="str">
        <f>Manifest[[#This Row],[newID]]</f>
        <v>Ros_Jue_6_02</v>
      </c>
      <c r="C338" t="s">
        <v>4</v>
      </c>
      <c r="D338" t="s">
        <v>62</v>
      </c>
      <c r="E338">
        <v>6</v>
      </c>
      <c r="F338">
        <f>IF(Manifest[[#This Row],[Segment]]=E337,F337+1,1)</f>
        <v>2</v>
      </c>
      <c r="G338" t="str">
        <f>"Ros_"&amp;Manifest[[#This Row],[Day]]&amp;"_"&amp;Manifest[[#This Row],[Segment]]&amp;"_"&amp;TEXT(Manifest[[#This Row],[Seq]],"00")</f>
        <v>Ros_Jue_6_02</v>
      </c>
    </row>
    <row r="339" spans="1:7" x14ac:dyDescent="0.25">
      <c r="A339" t="s">
        <v>22</v>
      </c>
      <c r="B339" t="str">
        <f>Manifest[[#This Row],[newID]]</f>
        <v>Ros_Jue_6_03</v>
      </c>
      <c r="C339" t="s">
        <v>4</v>
      </c>
      <c r="D339" t="s">
        <v>62</v>
      </c>
      <c r="E339">
        <v>6</v>
      </c>
      <c r="F339">
        <f>IF(Manifest[[#This Row],[Segment]]=E338,F338+1,1)</f>
        <v>3</v>
      </c>
      <c r="G339" t="str">
        <f>"Ros_"&amp;Manifest[[#This Row],[Day]]&amp;"_"&amp;Manifest[[#This Row],[Segment]]&amp;"_"&amp;TEXT(Manifest[[#This Row],[Seq]],"00")</f>
        <v>Ros_Jue_6_03</v>
      </c>
    </row>
    <row r="340" spans="1:7" x14ac:dyDescent="0.25">
      <c r="A340" t="s">
        <v>23</v>
      </c>
      <c r="B340" t="str">
        <f>Manifest[[#This Row],[newID]]</f>
        <v>Ros_Jue_6_04</v>
      </c>
      <c r="C340" t="s">
        <v>4</v>
      </c>
      <c r="D340" t="s">
        <v>62</v>
      </c>
      <c r="E340">
        <v>6</v>
      </c>
      <c r="F340">
        <f>IF(Manifest[[#This Row],[Segment]]=E339,F339+1,1)</f>
        <v>4</v>
      </c>
      <c r="G340" t="str">
        <f>"Ros_"&amp;Manifest[[#This Row],[Day]]&amp;"_"&amp;Manifest[[#This Row],[Segment]]&amp;"_"&amp;TEXT(Manifest[[#This Row],[Seq]],"00")</f>
        <v>Ros_Jue_6_04</v>
      </c>
    </row>
    <row r="341" spans="1:7" x14ac:dyDescent="0.25">
      <c r="A341" t="s">
        <v>24</v>
      </c>
      <c r="B341" t="str">
        <f>Manifest[[#This Row],[newID]]</f>
        <v>Ros_Jue_6_05</v>
      </c>
      <c r="C341" t="s">
        <v>4</v>
      </c>
      <c r="D341" t="s">
        <v>62</v>
      </c>
      <c r="E341">
        <v>6</v>
      </c>
      <c r="F341">
        <f>IF(Manifest[[#This Row],[Segment]]=E340,F340+1,1)</f>
        <v>5</v>
      </c>
      <c r="G341" t="str">
        <f>"Ros_"&amp;Manifest[[#This Row],[Day]]&amp;"_"&amp;Manifest[[#This Row],[Segment]]&amp;"_"&amp;TEXT(Manifest[[#This Row],[Seq]],"00")</f>
        <v>Ros_Jue_6_05</v>
      </c>
    </row>
    <row r="342" spans="1:7" x14ac:dyDescent="0.25">
      <c r="A342" t="s">
        <v>25</v>
      </c>
      <c r="B342" t="str">
        <f>Manifest[[#This Row],[newID]]</f>
        <v>Ros_Jue_6_06</v>
      </c>
      <c r="C342" t="s">
        <v>4</v>
      </c>
      <c r="D342" t="s">
        <v>62</v>
      </c>
      <c r="E342">
        <v>6</v>
      </c>
      <c r="F342">
        <f>IF(Manifest[[#This Row],[Segment]]=E341,F341+1,1)</f>
        <v>6</v>
      </c>
      <c r="G342" t="str">
        <f>"Ros_"&amp;Manifest[[#This Row],[Day]]&amp;"_"&amp;Manifest[[#This Row],[Segment]]&amp;"_"&amp;TEXT(Manifest[[#This Row],[Seq]],"00")</f>
        <v>Ros_Jue_6_06</v>
      </c>
    </row>
    <row r="343" spans="1:7" x14ac:dyDescent="0.25">
      <c r="A343" t="s">
        <v>26</v>
      </c>
      <c r="B343" t="str">
        <f>Manifest[[#This Row],[newID]]</f>
        <v>Ros_Jue_6_07</v>
      </c>
      <c r="C343" t="s">
        <v>4</v>
      </c>
      <c r="D343" t="s">
        <v>62</v>
      </c>
      <c r="E343">
        <v>6</v>
      </c>
      <c r="F343">
        <f>IF(Manifest[[#This Row],[Segment]]=E342,F342+1,1)</f>
        <v>7</v>
      </c>
      <c r="G343" t="str">
        <f>"Ros_"&amp;Manifest[[#This Row],[Day]]&amp;"_"&amp;Manifest[[#This Row],[Segment]]&amp;"_"&amp;TEXT(Manifest[[#This Row],[Seq]],"00")</f>
        <v>Ros_Jue_6_07</v>
      </c>
    </row>
    <row r="344" spans="1:7" x14ac:dyDescent="0.25">
      <c r="A344" t="s">
        <v>27</v>
      </c>
      <c r="B344" t="str">
        <f>Manifest[[#This Row],[newID]]</f>
        <v>Ros_Jue_6_08</v>
      </c>
      <c r="C344" t="s">
        <v>4</v>
      </c>
      <c r="D344" t="s">
        <v>62</v>
      </c>
      <c r="E344">
        <v>6</v>
      </c>
      <c r="F344">
        <f>IF(Manifest[[#This Row],[Segment]]=E343,F343+1,1)</f>
        <v>8</v>
      </c>
      <c r="G344" t="str">
        <f>"Ros_"&amp;Manifest[[#This Row],[Day]]&amp;"_"&amp;Manifest[[#This Row],[Segment]]&amp;"_"&amp;TEXT(Manifest[[#This Row],[Seq]],"00")</f>
        <v>Ros_Jue_6_08</v>
      </c>
    </row>
    <row r="345" spans="1:7" x14ac:dyDescent="0.25">
      <c r="A345" t="s">
        <v>28</v>
      </c>
      <c r="B345" t="str">
        <f>Manifest[[#This Row],[newID]]</f>
        <v>Ros_Jue_6_09</v>
      </c>
      <c r="C345" t="s">
        <v>4</v>
      </c>
      <c r="D345" t="s">
        <v>62</v>
      </c>
      <c r="E345">
        <v>6</v>
      </c>
      <c r="F345">
        <f>IF(Manifest[[#This Row],[Segment]]=E344,F344+1,1)</f>
        <v>9</v>
      </c>
      <c r="G345" t="str">
        <f>"Ros_"&amp;Manifest[[#This Row],[Day]]&amp;"_"&amp;Manifest[[#This Row],[Segment]]&amp;"_"&amp;TEXT(Manifest[[#This Row],[Seq]],"00")</f>
        <v>Ros_Jue_6_09</v>
      </c>
    </row>
    <row r="346" spans="1:7" x14ac:dyDescent="0.25">
      <c r="A346" t="s">
        <v>29</v>
      </c>
      <c r="B346" t="str">
        <f>Manifest[[#This Row],[newID]]</f>
        <v>Ros_Jue_6_10</v>
      </c>
      <c r="C346" t="s">
        <v>4</v>
      </c>
      <c r="D346" t="s">
        <v>62</v>
      </c>
      <c r="E346">
        <v>6</v>
      </c>
      <c r="F346">
        <f>IF(Manifest[[#This Row],[Segment]]=E345,F345+1,1)</f>
        <v>10</v>
      </c>
      <c r="G346" t="str">
        <f>"Ros_"&amp;Manifest[[#This Row],[Day]]&amp;"_"&amp;Manifest[[#This Row],[Segment]]&amp;"_"&amp;TEXT(Manifest[[#This Row],[Seq]],"00")</f>
        <v>Ros_Jue_6_10</v>
      </c>
    </row>
    <row r="347" spans="1:7" x14ac:dyDescent="0.25">
      <c r="A347" t="s">
        <v>30</v>
      </c>
      <c r="B347" t="str">
        <f>Manifest[[#This Row],[newID]]</f>
        <v>Ros_Jue_6_11</v>
      </c>
      <c r="C347" t="s">
        <v>4</v>
      </c>
      <c r="D347" t="s">
        <v>62</v>
      </c>
      <c r="E347">
        <v>6</v>
      </c>
      <c r="F347">
        <f>IF(Manifest[[#This Row],[Segment]]=E346,F346+1,1)</f>
        <v>11</v>
      </c>
      <c r="G347" t="str">
        <f>"Ros_"&amp;Manifest[[#This Row],[Day]]&amp;"_"&amp;Manifest[[#This Row],[Segment]]&amp;"_"&amp;TEXT(Manifest[[#This Row],[Seq]],"00")</f>
        <v>Ros_Jue_6_11</v>
      </c>
    </row>
    <row r="348" spans="1:7" x14ac:dyDescent="0.25">
      <c r="A348" t="s">
        <v>31</v>
      </c>
      <c r="B348" t="str">
        <f>Manifest[[#This Row],[newID]]</f>
        <v>Ros_Jue_6_12</v>
      </c>
      <c r="C348" t="s">
        <v>4</v>
      </c>
      <c r="D348" t="s">
        <v>62</v>
      </c>
      <c r="E348">
        <v>6</v>
      </c>
      <c r="F348">
        <f>IF(Manifest[[#This Row],[Segment]]=E347,F347+1,1)</f>
        <v>12</v>
      </c>
      <c r="G348" t="str">
        <f>"Ros_"&amp;Manifest[[#This Row],[Day]]&amp;"_"&amp;Manifest[[#This Row],[Segment]]&amp;"_"&amp;TEXT(Manifest[[#This Row],[Seq]],"00")</f>
        <v>Ros_Jue_6_12</v>
      </c>
    </row>
    <row r="349" spans="1:7" x14ac:dyDescent="0.25">
      <c r="A349" t="s">
        <v>73</v>
      </c>
      <c r="B349" t="str">
        <f>Manifest[[#This Row],[newID]]</f>
        <v>Ros_Vie_0_01</v>
      </c>
      <c r="C349" t="s">
        <v>4</v>
      </c>
      <c r="D349" t="s">
        <v>64</v>
      </c>
      <c r="E349">
        <v>0</v>
      </c>
      <c r="F349">
        <f>IF(Manifest[[#This Row],[Segment]]=E348,F348+1,1)</f>
        <v>1</v>
      </c>
      <c r="G349" t="str">
        <f>"Ros_"&amp;Manifest[[#This Row],[Day]]&amp;"_"&amp;Manifest[[#This Row],[Segment]]&amp;"_"&amp;TEXT(Manifest[[#This Row],[Seq]],"00")</f>
        <v>Ros_Vie_0_01</v>
      </c>
    </row>
    <row r="350" spans="1:7" x14ac:dyDescent="0.25">
      <c r="A350" t="s">
        <v>7</v>
      </c>
      <c r="B350" t="str">
        <f>Manifest[[#This Row],[newID]]</f>
        <v>Ros_Vie_0_02</v>
      </c>
      <c r="C350" t="s">
        <v>4</v>
      </c>
      <c r="D350" t="s">
        <v>64</v>
      </c>
      <c r="E350">
        <v>0</v>
      </c>
      <c r="F350">
        <f>IF(Manifest[[#This Row],[Segment]]=E349,F349+1,1)</f>
        <v>2</v>
      </c>
      <c r="G350" t="str">
        <f>"Ros_"&amp;Manifest[[#This Row],[Day]]&amp;"_"&amp;Manifest[[#This Row],[Segment]]&amp;"_"&amp;TEXT(Manifest[[#This Row],[Seq]],"00")</f>
        <v>Ros_Vie_0_02</v>
      </c>
    </row>
    <row r="351" spans="1:7" x14ac:dyDescent="0.25">
      <c r="A351" t="s">
        <v>8</v>
      </c>
      <c r="B351" t="str">
        <f>Manifest[[#This Row],[newID]]</f>
        <v>Ros_Vie_0_03</v>
      </c>
      <c r="C351" t="s">
        <v>4</v>
      </c>
      <c r="D351" t="s">
        <v>64</v>
      </c>
      <c r="E351">
        <v>0</v>
      </c>
      <c r="F351">
        <f>IF(Manifest[[#This Row],[Segment]]=E350,F350+1,1)</f>
        <v>3</v>
      </c>
      <c r="G351" t="str">
        <f>"Ros_"&amp;Manifest[[#This Row],[Day]]&amp;"_"&amp;Manifest[[#This Row],[Segment]]&amp;"_"&amp;TEXT(Manifest[[#This Row],[Seq]],"00")</f>
        <v>Ros_Vie_0_03</v>
      </c>
    </row>
    <row r="352" spans="1:7" x14ac:dyDescent="0.25">
      <c r="A352" t="s">
        <v>9</v>
      </c>
      <c r="B352" t="str">
        <f>Manifest[[#This Row],[newID]]</f>
        <v>Ros_Vie_0_04</v>
      </c>
      <c r="C352" t="s">
        <v>4</v>
      </c>
      <c r="D352" t="s">
        <v>64</v>
      </c>
      <c r="E352">
        <v>0</v>
      </c>
      <c r="F352">
        <f>IF(Manifest[[#This Row],[Segment]]=E351,F351+1,1)</f>
        <v>4</v>
      </c>
      <c r="G352" t="str">
        <f>"Ros_"&amp;Manifest[[#This Row],[Day]]&amp;"_"&amp;Manifest[[#This Row],[Segment]]&amp;"_"&amp;TEXT(Manifest[[#This Row],[Seq]],"00")</f>
        <v>Ros_Vie_0_04</v>
      </c>
    </row>
    <row r="353" spans="1:7" x14ac:dyDescent="0.25">
      <c r="A353" t="s">
        <v>10</v>
      </c>
      <c r="B353" t="str">
        <f>Manifest[[#This Row],[newID]]</f>
        <v>Ros_Vie_0_05</v>
      </c>
      <c r="C353" t="s">
        <v>4</v>
      </c>
      <c r="D353" t="s">
        <v>64</v>
      </c>
      <c r="E353">
        <v>0</v>
      </c>
      <c r="F353">
        <f>IF(Manifest[[#This Row],[Segment]]=E352,F352+1,1)</f>
        <v>5</v>
      </c>
      <c r="G353" t="str">
        <f>"Ros_"&amp;Manifest[[#This Row],[Day]]&amp;"_"&amp;Manifest[[#This Row],[Segment]]&amp;"_"&amp;TEXT(Manifest[[#This Row],[Seq]],"00")</f>
        <v>Ros_Vie_0_05</v>
      </c>
    </row>
    <row r="354" spans="1:7" x14ac:dyDescent="0.25">
      <c r="A354" t="s">
        <v>11</v>
      </c>
      <c r="B354" t="str">
        <f>Manifest[[#This Row],[newID]]</f>
        <v>Ros_Vie_0_06</v>
      </c>
      <c r="C354" t="s">
        <v>4</v>
      </c>
      <c r="D354" t="s">
        <v>64</v>
      </c>
      <c r="E354">
        <v>0</v>
      </c>
      <c r="F354">
        <f>IF(Manifest[[#This Row],[Segment]]=E353,F353+1,1)</f>
        <v>6</v>
      </c>
      <c r="G354" t="str">
        <f>"Ros_"&amp;Manifest[[#This Row],[Day]]&amp;"_"&amp;Manifest[[#This Row],[Segment]]&amp;"_"&amp;TEXT(Manifest[[#This Row],[Seq]],"00")</f>
        <v>Ros_Vie_0_06</v>
      </c>
    </row>
    <row r="355" spans="1:7" x14ac:dyDescent="0.25">
      <c r="A355" t="s">
        <v>11</v>
      </c>
      <c r="B355" t="str">
        <f>Manifest[[#This Row],[newID]]</f>
        <v>Ros_Vie_0_07</v>
      </c>
      <c r="C355" t="s">
        <v>4</v>
      </c>
      <c r="D355" t="s">
        <v>64</v>
      </c>
      <c r="E355">
        <v>0</v>
      </c>
      <c r="F355">
        <f>IF(Manifest[[#This Row],[Segment]]=E354,F354+1,1)</f>
        <v>7</v>
      </c>
      <c r="G355" t="str">
        <f>"Ros_"&amp;Manifest[[#This Row],[Day]]&amp;"_"&amp;Manifest[[#This Row],[Segment]]&amp;"_"&amp;TEXT(Manifest[[#This Row],[Seq]],"00")</f>
        <v>Ros_Vie_0_07</v>
      </c>
    </row>
    <row r="356" spans="1:7" x14ac:dyDescent="0.25">
      <c r="A356" t="s">
        <v>11</v>
      </c>
      <c r="B356" t="str">
        <f>Manifest[[#This Row],[newID]]</f>
        <v>Ros_Vie_0_08</v>
      </c>
      <c r="C356" t="s">
        <v>4</v>
      </c>
      <c r="D356" t="s">
        <v>64</v>
      </c>
      <c r="E356">
        <v>0</v>
      </c>
      <c r="F356">
        <f>IF(Manifest[[#This Row],[Segment]]=E355,F355+1,1)</f>
        <v>8</v>
      </c>
      <c r="G356" t="str">
        <f>"Ros_"&amp;Manifest[[#This Row],[Day]]&amp;"_"&amp;Manifest[[#This Row],[Segment]]&amp;"_"&amp;TEXT(Manifest[[#This Row],[Seq]],"00")</f>
        <v>Ros_Vie_0_08</v>
      </c>
    </row>
    <row r="357" spans="1:7" x14ac:dyDescent="0.25">
      <c r="A357" t="s">
        <v>12</v>
      </c>
      <c r="B357" t="str">
        <f>Manifest[[#This Row],[newID]]</f>
        <v>Ros_Vie_0_09</v>
      </c>
      <c r="C357" t="s">
        <v>4</v>
      </c>
      <c r="D357" t="s">
        <v>64</v>
      </c>
      <c r="E357">
        <v>0</v>
      </c>
      <c r="F357">
        <f>IF(Manifest[[#This Row],[Segment]]=E356,F356+1,1)</f>
        <v>9</v>
      </c>
      <c r="G357" t="str">
        <f>"Ros_"&amp;Manifest[[#This Row],[Day]]&amp;"_"&amp;Manifest[[#This Row],[Segment]]&amp;"_"&amp;TEXT(Manifest[[#This Row],[Seq]],"00")</f>
        <v>Ros_Vie_0_09</v>
      </c>
    </row>
    <row r="358" spans="1:7" x14ac:dyDescent="0.25">
      <c r="A358" t="s">
        <v>13</v>
      </c>
      <c r="B358" t="str">
        <f>Manifest[[#This Row],[newID]]</f>
        <v>Ros_Vie_0_10</v>
      </c>
      <c r="C358" t="s">
        <v>4</v>
      </c>
      <c r="D358" t="s">
        <v>64</v>
      </c>
      <c r="E358">
        <v>0</v>
      </c>
      <c r="F358">
        <f>IF(Manifest[[#This Row],[Segment]]=E357,F357+1,1)</f>
        <v>10</v>
      </c>
      <c r="G358" t="str">
        <f>"Ros_"&amp;Manifest[[#This Row],[Day]]&amp;"_"&amp;Manifest[[#This Row],[Segment]]&amp;"_"&amp;TEXT(Manifest[[#This Row],[Seq]],"00")</f>
        <v>Ros_Vie_0_10</v>
      </c>
    </row>
    <row r="359" spans="1:7" x14ac:dyDescent="0.25">
      <c r="A359" t="s">
        <v>33</v>
      </c>
      <c r="B359" t="str">
        <f>Manifest[[#This Row],[newID]]</f>
        <v>Ros_Vie_1_01</v>
      </c>
      <c r="C359" t="s">
        <v>4</v>
      </c>
      <c r="D359" t="s">
        <v>64</v>
      </c>
      <c r="E359">
        <v>1</v>
      </c>
      <c r="F359">
        <f>IF(Manifest[[#This Row],[Segment]]=E358,F358+1,1)</f>
        <v>1</v>
      </c>
      <c r="G359" t="str">
        <f>"Ros_"&amp;Manifest[[#This Row],[Day]]&amp;"_"&amp;Manifest[[#This Row],[Segment]]&amp;"_"&amp;TEXT(Manifest[[#This Row],[Seq]],"00")</f>
        <v>Ros_Vie_1_01</v>
      </c>
    </row>
    <row r="360" spans="1:7" x14ac:dyDescent="0.25">
      <c r="A360" t="s">
        <v>10</v>
      </c>
      <c r="B360" t="str">
        <f>Manifest[[#This Row],[newID]]</f>
        <v>Ros_Vie_1_02</v>
      </c>
      <c r="C360" t="s">
        <v>4</v>
      </c>
      <c r="D360" t="s">
        <v>64</v>
      </c>
      <c r="E360">
        <v>1</v>
      </c>
      <c r="F360">
        <f>IF(Manifest[[#This Row],[Segment]]=E359,F359+1,1)</f>
        <v>2</v>
      </c>
      <c r="G360" t="str">
        <f>"Ros_"&amp;Manifest[[#This Row],[Day]]&amp;"_"&amp;Manifest[[#This Row],[Segment]]&amp;"_"&amp;TEXT(Manifest[[#This Row],[Seq]],"00")</f>
        <v>Ros_Vie_1_02</v>
      </c>
    </row>
    <row r="361" spans="1:7" x14ac:dyDescent="0.25">
      <c r="A361" t="s">
        <v>11</v>
      </c>
      <c r="B361" t="str">
        <f>Manifest[[#This Row],[newID]]</f>
        <v>Ros_Vie_1_03</v>
      </c>
      <c r="C361" t="s">
        <v>4</v>
      </c>
      <c r="D361" t="s">
        <v>64</v>
      </c>
      <c r="E361">
        <v>1</v>
      </c>
      <c r="F361">
        <f>IF(Manifest[[#This Row],[Segment]]=E360,F360+1,1)</f>
        <v>3</v>
      </c>
      <c r="G361" t="str">
        <f>"Ros_"&amp;Manifest[[#This Row],[Day]]&amp;"_"&amp;Manifest[[#This Row],[Segment]]&amp;"_"&amp;TEXT(Manifest[[#This Row],[Seq]],"00")</f>
        <v>Ros_Vie_1_03</v>
      </c>
    </row>
    <row r="362" spans="1:7" x14ac:dyDescent="0.25">
      <c r="A362" t="s">
        <v>11</v>
      </c>
      <c r="B362" t="str">
        <f>Manifest[[#This Row],[newID]]</f>
        <v>Ros_Vie_1_04</v>
      </c>
      <c r="C362" t="s">
        <v>4</v>
      </c>
      <c r="D362" t="s">
        <v>64</v>
      </c>
      <c r="E362">
        <v>1</v>
      </c>
      <c r="F362">
        <f>IF(Manifest[[#This Row],[Segment]]=E361,F361+1,1)</f>
        <v>4</v>
      </c>
      <c r="G362" t="str">
        <f>"Ros_"&amp;Manifest[[#This Row],[Day]]&amp;"_"&amp;Manifest[[#This Row],[Segment]]&amp;"_"&amp;TEXT(Manifest[[#This Row],[Seq]],"00")</f>
        <v>Ros_Vie_1_04</v>
      </c>
    </row>
    <row r="363" spans="1:7" x14ac:dyDescent="0.25">
      <c r="A363" t="s">
        <v>11</v>
      </c>
      <c r="B363" t="str">
        <f>Manifest[[#This Row],[newID]]</f>
        <v>Ros_Vie_1_05</v>
      </c>
      <c r="C363" t="s">
        <v>4</v>
      </c>
      <c r="D363" t="s">
        <v>64</v>
      </c>
      <c r="E363">
        <v>1</v>
      </c>
      <c r="F363">
        <f>IF(Manifest[[#This Row],[Segment]]=E362,F362+1,1)</f>
        <v>5</v>
      </c>
      <c r="G363" t="str">
        <f>"Ros_"&amp;Manifest[[#This Row],[Day]]&amp;"_"&amp;Manifest[[#This Row],[Segment]]&amp;"_"&amp;TEXT(Manifest[[#This Row],[Seq]],"00")</f>
        <v>Ros_Vie_1_05</v>
      </c>
    </row>
    <row r="364" spans="1:7" x14ac:dyDescent="0.25">
      <c r="A364" t="s">
        <v>11</v>
      </c>
      <c r="B364" t="str">
        <f>Manifest[[#This Row],[newID]]</f>
        <v>Ros_Vie_1_06</v>
      </c>
      <c r="C364" t="s">
        <v>4</v>
      </c>
      <c r="D364" t="s">
        <v>64</v>
      </c>
      <c r="E364">
        <v>1</v>
      </c>
      <c r="F364">
        <f>IF(Manifest[[#This Row],[Segment]]=E363,F363+1,1)</f>
        <v>6</v>
      </c>
      <c r="G364" t="str">
        <f>"Ros_"&amp;Manifest[[#This Row],[Day]]&amp;"_"&amp;Manifest[[#This Row],[Segment]]&amp;"_"&amp;TEXT(Manifest[[#This Row],[Seq]],"00")</f>
        <v>Ros_Vie_1_06</v>
      </c>
    </row>
    <row r="365" spans="1:7" x14ac:dyDescent="0.25">
      <c r="A365" t="s">
        <v>11</v>
      </c>
      <c r="B365" t="str">
        <f>Manifest[[#This Row],[newID]]</f>
        <v>Ros_Vie_1_07</v>
      </c>
      <c r="C365" t="s">
        <v>4</v>
      </c>
      <c r="D365" t="s">
        <v>64</v>
      </c>
      <c r="E365">
        <v>1</v>
      </c>
      <c r="F365">
        <f>IF(Manifest[[#This Row],[Segment]]=E364,F364+1,1)</f>
        <v>7</v>
      </c>
      <c r="G365" t="str">
        <f>"Ros_"&amp;Manifest[[#This Row],[Day]]&amp;"_"&amp;Manifest[[#This Row],[Segment]]&amp;"_"&amp;TEXT(Manifest[[#This Row],[Seq]],"00")</f>
        <v>Ros_Vie_1_07</v>
      </c>
    </row>
    <row r="366" spans="1:7" x14ac:dyDescent="0.25">
      <c r="A366" t="s">
        <v>11</v>
      </c>
      <c r="B366" t="str">
        <f>Manifest[[#This Row],[newID]]</f>
        <v>Ros_Vie_1_08</v>
      </c>
      <c r="C366" t="s">
        <v>4</v>
      </c>
      <c r="D366" t="s">
        <v>64</v>
      </c>
      <c r="E366">
        <v>1</v>
      </c>
      <c r="F366">
        <f>IF(Manifest[[#This Row],[Segment]]=E365,F365+1,1)</f>
        <v>8</v>
      </c>
      <c r="G366" t="str">
        <f>"Ros_"&amp;Manifest[[#This Row],[Day]]&amp;"_"&amp;Manifest[[#This Row],[Segment]]&amp;"_"&amp;TEXT(Manifest[[#This Row],[Seq]],"00")</f>
        <v>Ros_Vie_1_08</v>
      </c>
    </row>
    <row r="367" spans="1:7" x14ac:dyDescent="0.25">
      <c r="A367" t="s">
        <v>11</v>
      </c>
      <c r="B367" t="str">
        <f>Manifest[[#This Row],[newID]]</f>
        <v>Ros_Vie_1_09</v>
      </c>
      <c r="C367" t="s">
        <v>4</v>
      </c>
      <c r="D367" t="s">
        <v>64</v>
      </c>
      <c r="E367">
        <v>1</v>
      </c>
      <c r="F367">
        <f>IF(Manifest[[#This Row],[Segment]]=E366,F366+1,1)</f>
        <v>9</v>
      </c>
      <c r="G367" t="str">
        <f>"Ros_"&amp;Manifest[[#This Row],[Day]]&amp;"_"&amp;Manifest[[#This Row],[Segment]]&amp;"_"&amp;TEXT(Manifest[[#This Row],[Seq]],"00")</f>
        <v>Ros_Vie_1_09</v>
      </c>
    </row>
    <row r="368" spans="1:7" x14ac:dyDescent="0.25">
      <c r="A368" t="s">
        <v>11</v>
      </c>
      <c r="B368" t="str">
        <f>Manifest[[#This Row],[newID]]</f>
        <v>Ros_Vie_1_10</v>
      </c>
      <c r="C368" t="s">
        <v>4</v>
      </c>
      <c r="D368" t="s">
        <v>64</v>
      </c>
      <c r="E368">
        <v>1</v>
      </c>
      <c r="F368">
        <f>IF(Manifest[[#This Row],[Segment]]=E367,F367+1,1)</f>
        <v>10</v>
      </c>
      <c r="G368" t="str">
        <f>"Ros_"&amp;Manifest[[#This Row],[Day]]&amp;"_"&amp;Manifest[[#This Row],[Segment]]&amp;"_"&amp;TEXT(Manifest[[#This Row],[Seq]],"00")</f>
        <v>Ros_Vie_1_10</v>
      </c>
    </row>
    <row r="369" spans="1:7" x14ac:dyDescent="0.25">
      <c r="A369" t="s">
        <v>11</v>
      </c>
      <c r="B369" t="str">
        <f>Manifest[[#This Row],[newID]]</f>
        <v>Ros_Vie_1_11</v>
      </c>
      <c r="C369" t="s">
        <v>4</v>
      </c>
      <c r="D369" t="s">
        <v>64</v>
      </c>
      <c r="E369">
        <v>1</v>
      </c>
      <c r="F369">
        <f>IF(Manifest[[#This Row],[Segment]]=E368,F368+1,1)</f>
        <v>11</v>
      </c>
      <c r="G369" t="str">
        <f>"Ros_"&amp;Manifest[[#This Row],[Day]]&amp;"_"&amp;Manifest[[#This Row],[Segment]]&amp;"_"&amp;TEXT(Manifest[[#This Row],[Seq]],"00")</f>
        <v>Ros_Vie_1_11</v>
      </c>
    </row>
    <row r="370" spans="1:7" x14ac:dyDescent="0.25">
      <c r="A370" t="s">
        <v>11</v>
      </c>
      <c r="B370" t="str">
        <f>Manifest[[#This Row],[newID]]</f>
        <v>Ros_Vie_1_12</v>
      </c>
      <c r="C370" t="s">
        <v>4</v>
      </c>
      <c r="D370" t="s">
        <v>64</v>
      </c>
      <c r="E370">
        <v>1</v>
      </c>
      <c r="F370">
        <f>IF(Manifest[[#This Row],[Segment]]=E369,F369+1,1)</f>
        <v>12</v>
      </c>
      <c r="G370" t="str">
        <f>"Ros_"&amp;Manifest[[#This Row],[Day]]&amp;"_"&amp;Manifest[[#This Row],[Segment]]&amp;"_"&amp;TEXT(Manifest[[#This Row],[Seq]],"00")</f>
        <v>Ros_Vie_1_12</v>
      </c>
    </row>
    <row r="371" spans="1:7" x14ac:dyDescent="0.25">
      <c r="A371" t="s">
        <v>12</v>
      </c>
      <c r="B371" t="str">
        <f>Manifest[[#This Row],[newID]]</f>
        <v>Ros_Vie_1_13</v>
      </c>
      <c r="C371" t="s">
        <v>4</v>
      </c>
      <c r="D371" t="s">
        <v>64</v>
      </c>
      <c r="E371">
        <v>1</v>
      </c>
      <c r="F371">
        <f>IF(Manifest[[#This Row],[Segment]]=E370,F370+1,1)</f>
        <v>13</v>
      </c>
      <c r="G371" t="str">
        <f>"Ros_"&amp;Manifest[[#This Row],[Day]]&amp;"_"&amp;Manifest[[#This Row],[Segment]]&amp;"_"&amp;TEXT(Manifest[[#This Row],[Seq]],"00")</f>
        <v>Ros_Vie_1_13</v>
      </c>
    </row>
    <row r="372" spans="1:7" x14ac:dyDescent="0.25">
      <c r="A372" t="s">
        <v>15</v>
      </c>
      <c r="B372" t="str">
        <f>Manifest[[#This Row],[newID]]</f>
        <v>Ros_Vie_1_14</v>
      </c>
      <c r="C372" t="s">
        <v>4</v>
      </c>
      <c r="D372" t="s">
        <v>64</v>
      </c>
      <c r="E372">
        <v>1</v>
      </c>
      <c r="F372">
        <f>IF(Manifest[[#This Row],[Segment]]=E371,F371+1,1)</f>
        <v>14</v>
      </c>
      <c r="G372" t="str">
        <f>"Ros_"&amp;Manifest[[#This Row],[Day]]&amp;"_"&amp;Manifest[[#This Row],[Segment]]&amp;"_"&amp;TEXT(Manifest[[#This Row],[Seq]],"00")</f>
        <v>Ros_Vie_1_14</v>
      </c>
    </row>
    <row r="373" spans="1:7" x14ac:dyDescent="0.25">
      <c r="A373" t="s">
        <v>34</v>
      </c>
      <c r="B373" t="str">
        <f>Manifest[[#This Row],[newID]]</f>
        <v>Ros_Vie_2_01</v>
      </c>
      <c r="C373" t="s">
        <v>4</v>
      </c>
      <c r="D373" t="s">
        <v>64</v>
      </c>
      <c r="E373">
        <v>2</v>
      </c>
      <c r="F373">
        <f>IF(Manifest[[#This Row],[Segment]]=E372,F372+1,1)</f>
        <v>1</v>
      </c>
      <c r="G373" t="str">
        <f>"Ros_"&amp;Manifest[[#This Row],[Day]]&amp;"_"&amp;Manifest[[#This Row],[Segment]]&amp;"_"&amp;TEXT(Manifest[[#This Row],[Seq]],"00")</f>
        <v>Ros_Vie_2_01</v>
      </c>
    </row>
    <row r="374" spans="1:7" x14ac:dyDescent="0.25">
      <c r="A374" t="s">
        <v>10</v>
      </c>
      <c r="B374" t="str">
        <f>Manifest[[#This Row],[newID]]</f>
        <v>Ros_Vie_2_02</v>
      </c>
      <c r="C374" t="s">
        <v>4</v>
      </c>
      <c r="D374" t="s">
        <v>64</v>
      </c>
      <c r="E374">
        <v>2</v>
      </c>
      <c r="F374">
        <f>IF(Manifest[[#This Row],[Segment]]=E373,F373+1,1)</f>
        <v>2</v>
      </c>
      <c r="G374" t="str">
        <f>"Ros_"&amp;Manifest[[#This Row],[Day]]&amp;"_"&amp;Manifest[[#This Row],[Segment]]&amp;"_"&amp;TEXT(Manifest[[#This Row],[Seq]],"00")</f>
        <v>Ros_Vie_2_02</v>
      </c>
    </row>
    <row r="375" spans="1:7" x14ac:dyDescent="0.25">
      <c r="A375" t="s">
        <v>11</v>
      </c>
      <c r="B375" t="str">
        <f>Manifest[[#This Row],[newID]]</f>
        <v>Ros_Vie_2_03</v>
      </c>
      <c r="C375" t="s">
        <v>4</v>
      </c>
      <c r="D375" t="s">
        <v>64</v>
      </c>
      <c r="E375">
        <v>2</v>
      </c>
      <c r="F375">
        <f>IF(Manifest[[#This Row],[Segment]]=E374,F374+1,1)</f>
        <v>3</v>
      </c>
      <c r="G375" t="str">
        <f>"Ros_"&amp;Manifest[[#This Row],[Day]]&amp;"_"&amp;Manifest[[#This Row],[Segment]]&amp;"_"&amp;TEXT(Manifest[[#This Row],[Seq]],"00")</f>
        <v>Ros_Vie_2_03</v>
      </c>
    </row>
    <row r="376" spans="1:7" x14ac:dyDescent="0.25">
      <c r="A376" t="s">
        <v>11</v>
      </c>
      <c r="B376" t="str">
        <f>Manifest[[#This Row],[newID]]</f>
        <v>Ros_Vie_2_04</v>
      </c>
      <c r="C376" t="s">
        <v>4</v>
      </c>
      <c r="D376" t="s">
        <v>64</v>
      </c>
      <c r="E376">
        <v>2</v>
      </c>
      <c r="F376">
        <f>IF(Manifest[[#This Row],[Segment]]=E375,F375+1,1)</f>
        <v>4</v>
      </c>
      <c r="G376" t="str">
        <f>"Ros_"&amp;Manifest[[#This Row],[Day]]&amp;"_"&amp;Manifest[[#This Row],[Segment]]&amp;"_"&amp;TEXT(Manifest[[#This Row],[Seq]],"00")</f>
        <v>Ros_Vie_2_04</v>
      </c>
    </row>
    <row r="377" spans="1:7" x14ac:dyDescent="0.25">
      <c r="A377" t="s">
        <v>11</v>
      </c>
      <c r="B377" t="str">
        <f>Manifest[[#This Row],[newID]]</f>
        <v>Ros_Vie_2_05</v>
      </c>
      <c r="C377" t="s">
        <v>4</v>
      </c>
      <c r="D377" t="s">
        <v>64</v>
      </c>
      <c r="E377">
        <v>2</v>
      </c>
      <c r="F377">
        <f>IF(Manifest[[#This Row],[Segment]]=E376,F376+1,1)</f>
        <v>5</v>
      </c>
      <c r="G377" t="str">
        <f>"Ros_"&amp;Manifest[[#This Row],[Day]]&amp;"_"&amp;Manifest[[#This Row],[Segment]]&amp;"_"&amp;TEXT(Manifest[[#This Row],[Seq]],"00")</f>
        <v>Ros_Vie_2_05</v>
      </c>
    </row>
    <row r="378" spans="1:7" x14ac:dyDescent="0.25">
      <c r="A378" t="s">
        <v>11</v>
      </c>
      <c r="B378" t="str">
        <f>Manifest[[#This Row],[newID]]</f>
        <v>Ros_Vie_2_06</v>
      </c>
      <c r="C378" t="s">
        <v>4</v>
      </c>
      <c r="D378" t="s">
        <v>64</v>
      </c>
      <c r="E378">
        <v>2</v>
      </c>
      <c r="F378">
        <f>IF(Manifest[[#This Row],[Segment]]=E377,F377+1,1)</f>
        <v>6</v>
      </c>
      <c r="G378" t="str">
        <f>"Ros_"&amp;Manifest[[#This Row],[Day]]&amp;"_"&amp;Manifest[[#This Row],[Segment]]&amp;"_"&amp;TEXT(Manifest[[#This Row],[Seq]],"00")</f>
        <v>Ros_Vie_2_06</v>
      </c>
    </row>
    <row r="379" spans="1:7" x14ac:dyDescent="0.25">
      <c r="A379" t="s">
        <v>11</v>
      </c>
      <c r="B379" t="str">
        <f>Manifest[[#This Row],[newID]]</f>
        <v>Ros_Vie_2_07</v>
      </c>
      <c r="C379" t="s">
        <v>4</v>
      </c>
      <c r="D379" t="s">
        <v>64</v>
      </c>
      <c r="E379">
        <v>2</v>
      </c>
      <c r="F379">
        <f>IF(Manifest[[#This Row],[Segment]]=E378,F378+1,1)</f>
        <v>7</v>
      </c>
      <c r="G379" t="str">
        <f>"Ros_"&amp;Manifest[[#This Row],[Day]]&amp;"_"&amp;Manifest[[#This Row],[Segment]]&amp;"_"&amp;TEXT(Manifest[[#This Row],[Seq]],"00")</f>
        <v>Ros_Vie_2_07</v>
      </c>
    </row>
    <row r="380" spans="1:7" x14ac:dyDescent="0.25">
      <c r="A380" t="s">
        <v>11</v>
      </c>
      <c r="B380" t="str">
        <f>Manifest[[#This Row],[newID]]</f>
        <v>Ros_Vie_2_08</v>
      </c>
      <c r="C380" t="s">
        <v>4</v>
      </c>
      <c r="D380" t="s">
        <v>64</v>
      </c>
      <c r="E380">
        <v>2</v>
      </c>
      <c r="F380">
        <f>IF(Manifest[[#This Row],[Segment]]=E379,F379+1,1)</f>
        <v>8</v>
      </c>
      <c r="G380" t="str">
        <f>"Ros_"&amp;Manifest[[#This Row],[Day]]&amp;"_"&amp;Manifest[[#This Row],[Segment]]&amp;"_"&amp;TEXT(Manifest[[#This Row],[Seq]],"00")</f>
        <v>Ros_Vie_2_08</v>
      </c>
    </row>
    <row r="381" spans="1:7" x14ac:dyDescent="0.25">
      <c r="A381" t="s">
        <v>11</v>
      </c>
      <c r="B381" t="str">
        <f>Manifest[[#This Row],[newID]]</f>
        <v>Ros_Vie_2_09</v>
      </c>
      <c r="C381" t="s">
        <v>4</v>
      </c>
      <c r="D381" t="s">
        <v>64</v>
      </c>
      <c r="E381">
        <v>2</v>
      </c>
      <c r="F381">
        <f>IF(Manifest[[#This Row],[Segment]]=E380,F380+1,1)</f>
        <v>9</v>
      </c>
      <c r="G381" t="str">
        <f>"Ros_"&amp;Manifest[[#This Row],[Day]]&amp;"_"&amp;Manifest[[#This Row],[Segment]]&amp;"_"&amp;TEXT(Manifest[[#This Row],[Seq]],"00")</f>
        <v>Ros_Vie_2_09</v>
      </c>
    </row>
    <row r="382" spans="1:7" x14ac:dyDescent="0.25">
      <c r="A382" t="s">
        <v>11</v>
      </c>
      <c r="B382" t="str">
        <f>Manifest[[#This Row],[newID]]</f>
        <v>Ros_Vie_2_10</v>
      </c>
      <c r="C382" t="s">
        <v>4</v>
      </c>
      <c r="D382" t="s">
        <v>64</v>
      </c>
      <c r="E382">
        <v>2</v>
      </c>
      <c r="F382">
        <f>IF(Manifest[[#This Row],[Segment]]=E381,F381+1,1)</f>
        <v>10</v>
      </c>
      <c r="G382" t="str">
        <f>"Ros_"&amp;Manifest[[#This Row],[Day]]&amp;"_"&amp;Manifest[[#This Row],[Segment]]&amp;"_"&amp;TEXT(Manifest[[#This Row],[Seq]],"00")</f>
        <v>Ros_Vie_2_10</v>
      </c>
    </row>
    <row r="383" spans="1:7" x14ac:dyDescent="0.25">
      <c r="A383" t="s">
        <v>11</v>
      </c>
      <c r="B383" t="str">
        <f>Manifest[[#This Row],[newID]]</f>
        <v>Ros_Vie_2_11</v>
      </c>
      <c r="C383" t="s">
        <v>4</v>
      </c>
      <c r="D383" t="s">
        <v>64</v>
      </c>
      <c r="E383">
        <v>2</v>
      </c>
      <c r="F383">
        <f>IF(Manifest[[#This Row],[Segment]]=E382,F382+1,1)</f>
        <v>11</v>
      </c>
      <c r="G383" t="str">
        <f>"Ros_"&amp;Manifest[[#This Row],[Day]]&amp;"_"&amp;Manifest[[#This Row],[Segment]]&amp;"_"&amp;TEXT(Manifest[[#This Row],[Seq]],"00")</f>
        <v>Ros_Vie_2_11</v>
      </c>
    </row>
    <row r="384" spans="1:7" x14ac:dyDescent="0.25">
      <c r="A384" t="s">
        <v>11</v>
      </c>
      <c r="B384" t="str">
        <f>Manifest[[#This Row],[newID]]</f>
        <v>Ros_Vie_2_12</v>
      </c>
      <c r="C384" t="s">
        <v>4</v>
      </c>
      <c r="D384" t="s">
        <v>64</v>
      </c>
      <c r="E384">
        <v>2</v>
      </c>
      <c r="F384">
        <f>IF(Manifest[[#This Row],[Segment]]=E383,F383+1,1)</f>
        <v>12</v>
      </c>
      <c r="G384" t="str">
        <f>"Ros_"&amp;Manifest[[#This Row],[Day]]&amp;"_"&amp;Manifest[[#This Row],[Segment]]&amp;"_"&amp;TEXT(Manifest[[#This Row],[Seq]],"00")</f>
        <v>Ros_Vie_2_12</v>
      </c>
    </row>
    <row r="385" spans="1:7" x14ac:dyDescent="0.25">
      <c r="A385" t="s">
        <v>12</v>
      </c>
      <c r="B385" t="str">
        <f>Manifest[[#This Row],[newID]]</f>
        <v>Ros_Vie_2_13</v>
      </c>
      <c r="C385" t="s">
        <v>4</v>
      </c>
      <c r="D385" t="s">
        <v>64</v>
      </c>
      <c r="E385">
        <v>2</v>
      </c>
      <c r="F385">
        <f>IF(Manifest[[#This Row],[Segment]]=E384,F384+1,1)</f>
        <v>13</v>
      </c>
      <c r="G385" t="str">
        <f>"Ros_"&amp;Manifest[[#This Row],[Day]]&amp;"_"&amp;Manifest[[#This Row],[Segment]]&amp;"_"&amp;TEXT(Manifest[[#This Row],[Seq]],"00")</f>
        <v>Ros_Vie_2_13</v>
      </c>
    </row>
    <row r="386" spans="1:7" x14ac:dyDescent="0.25">
      <c r="A386" t="s">
        <v>15</v>
      </c>
      <c r="B386" t="str">
        <f>Manifest[[#This Row],[newID]]</f>
        <v>Ros_Vie_2_14</v>
      </c>
      <c r="C386" t="s">
        <v>4</v>
      </c>
      <c r="D386" t="s">
        <v>64</v>
      </c>
      <c r="E386">
        <v>2</v>
      </c>
      <c r="F386">
        <f>IF(Manifest[[#This Row],[Segment]]=E385,F385+1,1)</f>
        <v>14</v>
      </c>
      <c r="G386" t="str">
        <f>"Ros_"&amp;Manifest[[#This Row],[Day]]&amp;"_"&amp;Manifest[[#This Row],[Segment]]&amp;"_"&amp;TEXT(Manifest[[#This Row],[Seq]],"00")</f>
        <v>Ros_Vie_2_14</v>
      </c>
    </row>
    <row r="387" spans="1:7" x14ac:dyDescent="0.25">
      <c r="A387" t="s">
        <v>35</v>
      </c>
      <c r="B387" t="str">
        <f>Manifest[[#This Row],[newID]]</f>
        <v>Ros_Vie_3_01</v>
      </c>
      <c r="C387" t="s">
        <v>4</v>
      </c>
      <c r="D387" t="s">
        <v>64</v>
      </c>
      <c r="E387">
        <v>3</v>
      </c>
      <c r="F387">
        <f>IF(Manifest[[#This Row],[Segment]]=E386,F386+1,1)</f>
        <v>1</v>
      </c>
      <c r="G387" t="str">
        <f>"Ros_"&amp;Manifest[[#This Row],[Day]]&amp;"_"&amp;Manifest[[#This Row],[Segment]]&amp;"_"&amp;TEXT(Manifest[[#This Row],[Seq]],"00")</f>
        <v>Ros_Vie_3_01</v>
      </c>
    </row>
    <row r="388" spans="1:7" x14ac:dyDescent="0.25">
      <c r="A388" t="s">
        <v>10</v>
      </c>
      <c r="B388" t="str">
        <f>Manifest[[#This Row],[newID]]</f>
        <v>Ros_Vie_3_02</v>
      </c>
      <c r="C388" t="s">
        <v>4</v>
      </c>
      <c r="D388" t="s">
        <v>64</v>
      </c>
      <c r="E388">
        <v>3</v>
      </c>
      <c r="F388">
        <f>IF(Manifest[[#This Row],[Segment]]=E387,F387+1,1)</f>
        <v>2</v>
      </c>
      <c r="G388" t="str">
        <f>"Ros_"&amp;Manifest[[#This Row],[Day]]&amp;"_"&amp;Manifest[[#This Row],[Segment]]&amp;"_"&amp;TEXT(Manifest[[#This Row],[Seq]],"00")</f>
        <v>Ros_Vie_3_02</v>
      </c>
    </row>
    <row r="389" spans="1:7" x14ac:dyDescent="0.25">
      <c r="A389" t="s">
        <v>11</v>
      </c>
      <c r="B389" t="str">
        <f>Manifest[[#This Row],[newID]]</f>
        <v>Ros_Vie_3_03</v>
      </c>
      <c r="C389" t="s">
        <v>4</v>
      </c>
      <c r="D389" t="s">
        <v>64</v>
      </c>
      <c r="E389">
        <v>3</v>
      </c>
      <c r="F389">
        <f>IF(Manifest[[#This Row],[Segment]]=E388,F388+1,1)</f>
        <v>3</v>
      </c>
      <c r="G389" t="str">
        <f>"Ros_"&amp;Manifest[[#This Row],[Day]]&amp;"_"&amp;Manifest[[#This Row],[Segment]]&amp;"_"&amp;TEXT(Manifest[[#This Row],[Seq]],"00")</f>
        <v>Ros_Vie_3_03</v>
      </c>
    </row>
    <row r="390" spans="1:7" x14ac:dyDescent="0.25">
      <c r="A390" t="s">
        <v>11</v>
      </c>
      <c r="B390" t="str">
        <f>Manifest[[#This Row],[newID]]</f>
        <v>Ros_Vie_3_04</v>
      </c>
      <c r="C390" t="s">
        <v>4</v>
      </c>
      <c r="D390" t="s">
        <v>64</v>
      </c>
      <c r="E390">
        <v>3</v>
      </c>
      <c r="F390">
        <f>IF(Manifest[[#This Row],[Segment]]=E389,F389+1,1)</f>
        <v>4</v>
      </c>
      <c r="G390" t="str">
        <f>"Ros_"&amp;Manifest[[#This Row],[Day]]&amp;"_"&amp;Manifest[[#This Row],[Segment]]&amp;"_"&amp;TEXT(Manifest[[#This Row],[Seq]],"00")</f>
        <v>Ros_Vie_3_04</v>
      </c>
    </row>
    <row r="391" spans="1:7" x14ac:dyDescent="0.25">
      <c r="A391" t="s">
        <v>11</v>
      </c>
      <c r="B391" t="str">
        <f>Manifest[[#This Row],[newID]]</f>
        <v>Ros_Vie_3_05</v>
      </c>
      <c r="C391" t="s">
        <v>4</v>
      </c>
      <c r="D391" t="s">
        <v>64</v>
      </c>
      <c r="E391">
        <v>3</v>
      </c>
      <c r="F391">
        <f>IF(Manifest[[#This Row],[Segment]]=E390,F390+1,1)</f>
        <v>5</v>
      </c>
      <c r="G391" t="str">
        <f>"Ros_"&amp;Manifest[[#This Row],[Day]]&amp;"_"&amp;Manifest[[#This Row],[Segment]]&amp;"_"&amp;TEXT(Manifest[[#This Row],[Seq]],"00")</f>
        <v>Ros_Vie_3_05</v>
      </c>
    </row>
    <row r="392" spans="1:7" x14ac:dyDescent="0.25">
      <c r="A392" t="s">
        <v>11</v>
      </c>
      <c r="B392" t="str">
        <f>Manifest[[#This Row],[newID]]</f>
        <v>Ros_Vie_3_06</v>
      </c>
      <c r="C392" t="s">
        <v>4</v>
      </c>
      <c r="D392" t="s">
        <v>64</v>
      </c>
      <c r="E392">
        <v>3</v>
      </c>
      <c r="F392">
        <f>IF(Manifest[[#This Row],[Segment]]=E391,F391+1,1)</f>
        <v>6</v>
      </c>
      <c r="G392" t="str">
        <f>"Ros_"&amp;Manifest[[#This Row],[Day]]&amp;"_"&amp;Manifest[[#This Row],[Segment]]&amp;"_"&amp;TEXT(Manifest[[#This Row],[Seq]],"00")</f>
        <v>Ros_Vie_3_06</v>
      </c>
    </row>
    <row r="393" spans="1:7" x14ac:dyDescent="0.25">
      <c r="A393" t="s">
        <v>11</v>
      </c>
      <c r="B393" t="str">
        <f>Manifest[[#This Row],[newID]]</f>
        <v>Ros_Vie_3_07</v>
      </c>
      <c r="C393" t="s">
        <v>4</v>
      </c>
      <c r="D393" t="s">
        <v>64</v>
      </c>
      <c r="E393">
        <v>3</v>
      </c>
      <c r="F393">
        <f>IF(Manifest[[#This Row],[Segment]]=E392,F392+1,1)</f>
        <v>7</v>
      </c>
      <c r="G393" t="str">
        <f>"Ros_"&amp;Manifest[[#This Row],[Day]]&amp;"_"&amp;Manifest[[#This Row],[Segment]]&amp;"_"&amp;TEXT(Manifest[[#This Row],[Seq]],"00")</f>
        <v>Ros_Vie_3_07</v>
      </c>
    </row>
    <row r="394" spans="1:7" x14ac:dyDescent="0.25">
      <c r="A394" t="s">
        <v>11</v>
      </c>
      <c r="B394" t="str">
        <f>Manifest[[#This Row],[newID]]</f>
        <v>Ros_Vie_3_08</v>
      </c>
      <c r="C394" t="s">
        <v>4</v>
      </c>
      <c r="D394" t="s">
        <v>64</v>
      </c>
      <c r="E394">
        <v>3</v>
      </c>
      <c r="F394">
        <f>IF(Manifest[[#This Row],[Segment]]=E393,F393+1,1)</f>
        <v>8</v>
      </c>
      <c r="G394" t="str">
        <f>"Ros_"&amp;Manifest[[#This Row],[Day]]&amp;"_"&amp;Manifest[[#This Row],[Segment]]&amp;"_"&amp;TEXT(Manifest[[#This Row],[Seq]],"00")</f>
        <v>Ros_Vie_3_08</v>
      </c>
    </row>
    <row r="395" spans="1:7" x14ac:dyDescent="0.25">
      <c r="A395" t="s">
        <v>11</v>
      </c>
      <c r="B395" t="str">
        <f>Manifest[[#This Row],[newID]]</f>
        <v>Ros_Vie_3_09</v>
      </c>
      <c r="C395" t="s">
        <v>4</v>
      </c>
      <c r="D395" t="s">
        <v>64</v>
      </c>
      <c r="E395">
        <v>3</v>
      </c>
      <c r="F395">
        <f>IF(Manifest[[#This Row],[Segment]]=E394,F394+1,1)</f>
        <v>9</v>
      </c>
      <c r="G395" t="str">
        <f>"Ros_"&amp;Manifest[[#This Row],[Day]]&amp;"_"&amp;Manifest[[#This Row],[Segment]]&amp;"_"&amp;TEXT(Manifest[[#This Row],[Seq]],"00")</f>
        <v>Ros_Vie_3_09</v>
      </c>
    </row>
    <row r="396" spans="1:7" x14ac:dyDescent="0.25">
      <c r="A396" t="s">
        <v>11</v>
      </c>
      <c r="B396" t="str">
        <f>Manifest[[#This Row],[newID]]</f>
        <v>Ros_Vie_3_10</v>
      </c>
      <c r="C396" t="s">
        <v>4</v>
      </c>
      <c r="D396" t="s">
        <v>64</v>
      </c>
      <c r="E396">
        <v>3</v>
      </c>
      <c r="F396">
        <f>IF(Manifest[[#This Row],[Segment]]=E395,F395+1,1)</f>
        <v>10</v>
      </c>
      <c r="G396" t="str">
        <f>"Ros_"&amp;Manifest[[#This Row],[Day]]&amp;"_"&amp;Manifest[[#This Row],[Segment]]&amp;"_"&amp;TEXT(Manifest[[#This Row],[Seq]],"00")</f>
        <v>Ros_Vie_3_10</v>
      </c>
    </row>
    <row r="397" spans="1:7" x14ac:dyDescent="0.25">
      <c r="A397" t="s">
        <v>11</v>
      </c>
      <c r="B397" t="str">
        <f>Manifest[[#This Row],[newID]]</f>
        <v>Ros_Vie_3_11</v>
      </c>
      <c r="C397" t="s">
        <v>4</v>
      </c>
      <c r="D397" t="s">
        <v>64</v>
      </c>
      <c r="E397">
        <v>3</v>
      </c>
      <c r="F397">
        <f>IF(Manifest[[#This Row],[Segment]]=E396,F396+1,1)</f>
        <v>11</v>
      </c>
      <c r="G397" t="str">
        <f>"Ros_"&amp;Manifest[[#This Row],[Day]]&amp;"_"&amp;Manifest[[#This Row],[Segment]]&amp;"_"&amp;TEXT(Manifest[[#This Row],[Seq]],"00")</f>
        <v>Ros_Vie_3_11</v>
      </c>
    </row>
    <row r="398" spans="1:7" x14ac:dyDescent="0.25">
      <c r="A398" t="s">
        <v>11</v>
      </c>
      <c r="B398" t="str">
        <f>Manifest[[#This Row],[newID]]</f>
        <v>Ros_Vie_3_12</v>
      </c>
      <c r="C398" t="s">
        <v>4</v>
      </c>
      <c r="D398" t="s">
        <v>64</v>
      </c>
      <c r="E398">
        <v>3</v>
      </c>
      <c r="F398">
        <f>IF(Manifest[[#This Row],[Segment]]=E397,F397+1,1)</f>
        <v>12</v>
      </c>
      <c r="G398" t="str">
        <f>"Ros_"&amp;Manifest[[#This Row],[Day]]&amp;"_"&amp;Manifest[[#This Row],[Segment]]&amp;"_"&amp;TEXT(Manifest[[#This Row],[Seq]],"00")</f>
        <v>Ros_Vie_3_12</v>
      </c>
    </row>
    <row r="399" spans="1:7" x14ac:dyDescent="0.25">
      <c r="A399" t="s">
        <v>12</v>
      </c>
      <c r="B399" t="str">
        <f>Manifest[[#This Row],[newID]]</f>
        <v>Ros_Vie_3_13</v>
      </c>
      <c r="C399" t="s">
        <v>4</v>
      </c>
      <c r="D399" t="s">
        <v>64</v>
      </c>
      <c r="E399">
        <v>3</v>
      </c>
      <c r="F399">
        <f>IF(Manifest[[#This Row],[Segment]]=E398,F398+1,1)</f>
        <v>13</v>
      </c>
      <c r="G399" t="str">
        <f>"Ros_"&amp;Manifest[[#This Row],[Day]]&amp;"_"&amp;Manifest[[#This Row],[Segment]]&amp;"_"&amp;TEXT(Manifest[[#This Row],[Seq]],"00")</f>
        <v>Ros_Vie_3_13</v>
      </c>
    </row>
    <row r="400" spans="1:7" x14ac:dyDescent="0.25">
      <c r="A400" t="s">
        <v>15</v>
      </c>
      <c r="B400" t="str">
        <f>Manifest[[#This Row],[newID]]</f>
        <v>Ros_Vie_3_14</v>
      </c>
      <c r="C400" t="s">
        <v>4</v>
      </c>
      <c r="D400" t="s">
        <v>64</v>
      </c>
      <c r="E400">
        <v>3</v>
      </c>
      <c r="F400">
        <f>IF(Manifest[[#This Row],[Segment]]=E399,F399+1,1)</f>
        <v>14</v>
      </c>
      <c r="G400" t="str">
        <f>"Ros_"&amp;Manifest[[#This Row],[Day]]&amp;"_"&amp;Manifest[[#This Row],[Segment]]&amp;"_"&amp;TEXT(Manifest[[#This Row],[Seq]],"00")</f>
        <v>Ros_Vie_3_14</v>
      </c>
    </row>
    <row r="401" spans="1:7" x14ac:dyDescent="0.25">
      <c r="A401" t="s">
        <v>36</v>
      </c>
      <c r="B401" t="str">
        <f>Manifest[[#This Row],[newID]]</f>
        <v>Ros_Vie_4_01</v>
      </c>
      <c r="C401" t="s">
        <v>4</v>
      </c>
      <c r="D401" t="s">
        <v>64</v>
      </c>
      <c r="E401">
        <v>4</v>
      </c>
      <c r="F401">
        <f>IF(Manifest[[#This Row],[Segment]]=E400,F400+1,1)</f>
        <v>1</v>
      </c>
      <c r="G401" t="str">
        <f>"Ros_"&amp;Manifest[[#This Row],[Day]]&amp;"_"&amp;Manifest[[#This Row],[Segment]]&amp;"_"&amp;TEXT(Manifest[[#This Row],[Seq]],"00")</f>
        <v>Ros_Vie_4_01</v>
      </c>
    </row>
    <row r="402" spans="1:7" x14ac:dyDescent="0.25">
      <c r="A402" t="s">
        <v>10</v>
      </c>
      <c r="B402" t="str">
        <f>Manifest[[#This Row],[newID]]</f>
        <v>Ros_Vie_4_02</v>
      </c>
      <c r="C402" t="s">
        <v>4</v>
      </c>
      <c r="D402" t="s">
        <v>64</v>
      </c>
      <c r="E402">
        <v>4</v>
      </c>
      <c r="F402">
        <f>IF(Manifest[[#This Row],[Segment]]=E401,F401+1,1)</f>
        <v>2</v>
      </c>
      <c r="G402" t="str">
        <f>"Ros_"&amp;Manifest[[#This Row],[Day]]&amp;"_"&amp;Manifest[[#This Row],[Segment]]&amp;"_"&amp;TEXT(Manifest[[#This Row],[Seq]],"00")</f>
        <v>Ros_Vie_4_02</v>
      </c>
    </row>
    <row r="403" spans="1:7" x14ac:dyDescent="0.25">
      <c r="A403" t="s">
        <v>11</v>
      </c>
      <c r="B403" t="str">
        <f>Manifest[[#This Row],[newID]]</f>
        <v>Ros_Vie_4_03</v>
      </c>
      <c r="C403" t="s">
        <v>4</v>
      </c>
      <c r="D403" t="s">
        <v>64</v>
      </c>
      <c r="E403">
        <v>4</v>
      </c>
      <c r="F403">
        <f>IF(Manifest[[#This Row],[Segment]]=E402,F402+1,1)</f>
        <v>3</v>
      </c>
      <c r="G403" t="str">
        <f>"Ros_"&amp;Manifest[[#This Row],[Day]]&amp;"_"&amp;Manifest[[#This Row],[Segment]]&amp;"_"&amp;TEXT(Manifest[[#This Row],[Seq]],"00")</f>
        <v>Ros_Vie_4_03</v>
      </c>
    </row>
    <row r="404" spans="1:7" x14ac:dyDescent="0.25">
      <c r="A404" t="s">
        <v>11</v>
      </c>
      <c r="B404" t="str">
        <f>Manifest[[#This Row],[newID]]</f>
        <v>Ros_Vie_4_04</v>
      </c>
      <c r="C404" t="s">
        <v>4</v>
      </c>
      <c r="D404" t="s">
        <v>64</v>
      </c>
      <c r="E404">
        <v>4</v>
      </c>
      <c r="F404">
        <f>IF(Manifest[[#This Row],[Segment]]=E403,F403+1,1)</f>
        <v>4</v>
      </c>
      <c r="G404" t="str">
        <f>"Ros_"&amp;Manifest[[#This Row],[Day]]&amp;"_"&amp;Manifest[[#This Row],[Segment]]&amp;"_"&amp;TEXT(Manifest[[#This Row],[Seq]],"00")</f>
        <v>Ros_Vie_4_04</v>
      </c>
    </row>
    <row r="405" spans="1:7" x14ac:dyDescent="0.25">
      <c r="A405" t="s">
        <v>11</v>
      </c>
      <c r="B405" t="str">
        <f>Manifest[[#This Row],[newID]]</f>
        <v>Ros_Vie_4_05</v>
      </c>
      <c r="C405" t="s">
        <v>4</v>
      </c>
      <c r="D405" t="s">
        <v>64</v>
      </c>
      <c r="E405">
        <v>4</v>
      </c>
      <c r="F405">
        <f>IF(Manifest[[#This Row],[Segment]]=E404,F404+1,1)</f>
        <v>5</v>
      </c>
      <c r="G405" t="str">
        <f>"Ros_"&amp;Manifest[[#This Row],[Day]]&amp;"_"&amp;Manifest[[#This Row],[Segment]]&amp;"_"&amp;TEXT(Manifest[[#This Row],[Seq]],"00")</f>
        <v>Ros_Vie_4_05</v>
      </c>
    </row>
    <row r="406" spans="1:7" x14ac:dyDescent="0.25">
      <c r="A406" t="s">
        <v>11</v>
      </c>
      <c r="B406" t="str">
        <f>Manifest[[#This Row],[newID]]</f>
        <v>Ros_Vie_4_06</v>
      </c>
      <c r="C406" t="s">
        <v>4</v>
      </c>
      <c r="D406" t="s">
        <v>64</v>
      </c>
      <c r="E406">
        <v>4</v>
      </c>
      <c r="F406">
        <f>IF(Manifest[[#This Row],[Segment]]=E405,F405+1,1)</f>
        <v>6</v>
      </c>
      <c r="G406" t="str">
        <f>"Ros_"&amp;Manifest[[#This Row],[Day]]&amp;"_"&amp;Manifest[[#This Row],[Segment]]&amp;"_"&amp;TEXT(Manifest[[#This Row],[Seq]],"00")</f>
        <v>Ros_Vie_4_06</v>
      </c>
    </row>
    <row r="407" spans="1:7" x14ac:dyDescent="0.25">
      <c r="A407" t="s">
        <v>11</v>
      </c>
      <c r="B407" t="str">
        <f>Manifest[[#This Row],[newID]]</f>
        <v>Ros_Vie_4_07</v>
      </c>
      <c r="C407" t="s">
        <v>4</v>
      </c>
      <c r="D407" t="s">
        <v>64</v>
      </c>
      <c r="E407">
        <v>4</v>
      </c>
      <c r="F407">
        <f>IF(Manifest[[#This Row],[Segment]]=E406,F406+1,1)</f>
        <v>7</v>
      </c>
      <c r="G407" t="str">
        <f>"Ros_"&amp;Manifest[[#This Row],[Day]]&amp;"_"&amp;Manifest[[#This Row],[Segment]]&amp;"_"&amp;TEXT(Manifest[[#This Row],[Seq]],"00")</f>
        <v>Ros_Vie_4_07</v>
      </c>
    </row>
    <row r="408" spans="1:7" x14ac:dyDescent="0.25">
      <c r="A408" t="s">
        <v>11</v>
      </c>
      <c r="B408" t="str">
        <f>Manifest[[#This Row],[newID]]</f>
        <v>Ros_Vie_4_08</v>
      </c>
      <c r="C408" t="s">
        <v>4</v>
      </c>
      <c r="D408" t="s">
        <v>64</v>
      </c>
      <c r="E408">
        <v>4</v>
      </c>
      <c r="F408">
        <f>IF(Manifest[[#This Row],[Segment]]=E407,F407+1,1)</f>
        <v>8</v>
      </c>
      <c r="G408" t="str">
        <f>"Ros_"&amp;Manifest[[#This Row],[Day]]&amp;"_"&amp;Manifest[[#This Row],[Segment]]&amp;"_"&amp;TEXT(Manifest[[#This Row],[Seq]],"00")</f>
        <v>Ros_Vie_4_08</v>
      </c>
    </row>
    <row r="409" spans="1:7" x14ac:dyDescent="0.25">
      <c r="A409" t="s">
        <v>11</v>
      </c>
      <c r="B409" t="str">
        <f>Manifest[[#This Row],[newID]]</f>
        <v>Ros_Vie_4_09</v>
      </c>
      <c r="C409" t="s">
        <v>4</v>
      </c>
      <c r="D409" t="s">
        <v>64</v>
      </c>
      <c r="E409">
        <v>4</v>
      </c>
      <c r="F409">
        <f>IF(Manifest[[#This Row],[Segment]]=E408,F408+1,1)</f>
        <v>9</v>
      </c>
      <c r="G409" t="str">
        <f>"Ros_"&amp;Manifest[[#This Row],[Day]]&amp;"_"&amp;Manifest[[#This Row],[Segment]]&amp;"_"&amp;TEXT(Manifest[[#This Row],[Seq]],"00")</f>
        <v>Ros_Vie_4_09</v>
      </c>
    </row>
    <row r="410" spans="1:7" x14ac:dyDescent="0.25">
      <c r="A410" t="s">
        <v>11</v>
      </c>
      <c r="B410" t="str">
        <f>Manifest[[#This Row],[newID]]</f>
        <v>Ros_Vie_4_10</v>
      </c>
      <c r="C410" t="s">
        <v>4</v>
      </c>
      <c r="D410" t="s">
        <v>64</v>
      </c>
      <c r="E410">
        <v>4</v>
      </c>
      <c r="F410">
        <f>IF(Manifest[[#This Row],[Segment]]=E409,F409+1,1)</f>
        <v>10</v>
      </c>
      <c r="G410" t="str">
        <f>"Ros_"&amp;Manifest[[#This Row],[Day]]&amp;"_"&amp;Manifest[[#This Row],[Segment]]&amp;"_"&amp;TEXT(Manifest[[#This Row],[Seq]],"00")</f>
        <v>Ros_Vie_4_10</v>
      </c>
    </row>
    <row r="411" spans="1:7" x14ac:dyDescent="0.25">
      <c r="A411" t="s">
        <v>11</v>
      </c>
      <c r="B411" t="str">
        <f>Manifest[[#This Row],[newID]]</f>
        <v>Ros_Vie_4_11</v>
      </c>
      <c r="C411" t="s">
        <v>4</v>
      </c>
      <c r="D411" t="s">
        <v>64</v>
      </c>
      <c r="E411">
        <v>4</v>
      </c>
      <c r="F411">
        <f>IF(Manifest[[#This Row],[Segment]]=E410,F410+1,1)</f>
        <v>11</v>
      </c>
      <c r="G411" t="str">
        <f>"Ros_"&amp;Manifest[[#This Row],[Day]]&amp;"_"&amp;Manifest[[#This Row],[Segment]]&amp;"_"&amp;TEXT(Manifest[[#This Row],[Seq]],"00")</f>
        <v>Ros_Vie_4_11</v>
      </c>
    </row>
    <row r="412" spans="1:7" x14ac:dyDescent="0.25">
      <c r="A412" t="s">
        <v>11</v>
      </c>
      <c r="B412" t="str">
        <f>Manifest[[#This Row],[newID]]</f>
        <v>Ros_Vie_4_12</v>
      </c>
      <c r="C412" t="s">
        <v>4</v>
      </c>
      <c r="D412" t="s">
        <v>64</v>
      </c>
      <c r="E412">
        <v>4</v>
      </c>
      <c r="F412">
        <f>IF(Manifest[[#This Row],[Segment]]=E411,F411+1,1)</f>
        <v>12</v>
      </c>
      <c r="G412" t="str">
        <f>"Ros_"&amp;Manifest[[#This Row],[Day]]&amp;"_"&amp;Manifest[[#This Row],[Segment]]&amp;"_"&amp;TEXT(Manifest[[#This Row],[Seq]],"00")</f>
        <v>Ros_Vie_4_12</v>
      </c>
    </row>
    <row r="413" spans="1:7" x14ac:dyDescent="0.25">
      <c r="A413" t="s">
        <v>12</v>
      </c>
      <c r="B413" t="str">
        <f>Manifest[[#This Row],[newID]]</f>
        <v>Ros_Vie_4_13</v>
      </c>
      <c r="C413" t="s">
        <v>4</v>
      </c>
      <c r="D413" t="s">
        <v>64</v>
      </c>
      <c r="E413">
        <v>4</v>
      </c>
      <c r="F413">
        <f>IF(Manifest[[#This Row],[Segment]]=E412,F412+1,1)</f>
        <v>13</v>
      </c>
      <c r="G413" t="str">
        <f>"Ros_"&amp;Manifest[[#This Row],[Day]]&amp;"_"&amp;Manifest[[#This Row],[Segment]]&amp;"_"&amp;TEXT(Manifest[[#This Row],[Seq]],"00")</f>
        <v>Ros_Vie_4_13</v>
      </c>
    </row>
    <row r="414" spans="1:7" x14ac:dyDescent="0.25">
      <c r="A414" t="s">
        <v>15</v>
      </c>
      <c r="B414" t="str">
        <f>Manifest[[#This Row],[newID]]</f>
        <v>Ros_Vie_4_14</v>
      </c>
      <c r="C414" t="s">
        <v>4</v>
      </c>
      <c r="D414" t="s">
        <v>64</v>
      </c>
      <c r="E414">
        <v>4</v>
      </c>
      <c r="F414">
        <f>IF(Manifest[[#This Row],[Segment]]=E413,F413+1,1)</f>
        <v>14</v>
      </c>
      <c r="G414" t="str">
        <f>"Ros_"&amp;Manifest[[#This Row],[Day]]&amp;"_"&amp;Manifest[[#This Row],[Segment]]&amp;"_"&amp;TEXT(Manifest[[#This Row],[Seq]],"00")</f>
        <v>Ros_Vie_4_14</v>
      </c>
    </row>
    <row r="415" spans="1:7" x14ac:dyDescent="0.25">
      <c r="A415" t="s">
        <v>37</v>
      </c>
      <c r="B415" t="str">
        <f>Manifest[[#This Row],[newID]]</f>
        <v>Ros_Vie_5_01</v>
      </c>
      <c r="C415" t="s">
        <v>4</v>
      </c>
      <c r="D415" t="s">
        <v>64</v>
      </c>
      <c r="E415">
        <v>5</v>
      </c>
      <c r="F415">
        <f>IF(Manifest[[#This Row],[Segment]]=E414,F414+1,1)</f>
        <v>1</v>
      </c>
      <c r="G415" t="str">
        <f>"Ros_"&amp;Manifest[[#This Row],[Day]]&amp;"_"&amp;Manifest[[#This Row],[Segment]]&amp;"_"&amp;TEXT(Manifest[[#This Row],[Seq]],"00")</f>
        <v>Ros_Vie_5_01</v>
      </c>
    </row>
    <row r="416" spans="1:7" x14ac:dyDescent="0.25">
      <c r="A416" t="s">
        <v>10</v>
      </c>
      <c r="B416" t="str">
        <f>Manifest[[#This Row],[newID]]</f>
        <v>Ros_Vie_5_02</v>
      </c>
      <c r="C416" t="s">
        <v>4</v>
      </c>
      <c r="D416" t="s">
        <v>64</v>
      </c>
      <c r="E416">
        <v>5</v>
      </c>
      <c r="F416">
        <f>IF(Manifest[[#This Row],[Segment]]=E415,F415+1,1)</f>
        <v>2</v>
      </c>
      <c r="G416" t="str">
        <f>"Ros_"&amp;Manifest[[#This Row],[Day]]&amp;"_"&amp;Manifest[[#This Row],[Segment]]&amp;"_"&amp;TEXT(Manifest[[#This Row],[Seq]],"00")</f>
        <v>Ros_Vie_5_02</v>
      </c>
    </row>
    <row r="417" spans="1:7" x14ac:dyDescent="0.25">
      <c r="A417" t="s">
        <v>11</v>
      </c>
      <c r="B417" t="str">
        <f>Manifest[[#This Row],[newID]]</f>
        <v>Ros_Vie_5_03</v>
      </c>
      <c r="C417" t="s">
        <v>4</v>
      </c>
      <c r="D417" t="s">
        <v>64</v>
      </c>
      <c r="E417">
        <v>5</v>
      </c>
      <c r="F417">
        <f>IF(Manifest[[#This Row],[Segment]]=E416,F416+1,1)</f>
        <v>3</v>
      </c>
      <c r="G417" t="str">
        <f>"Ros_"&amp;Manifest[[#This Row],[Day]]&amp;"_"&amp;Manifest[[#This Row],[Segment]]&amp;"_"&amp;TEXT(Manifest[[#This Row],[Seq]],"00")</f>
        <v>Ros_Vie_5_03</v>
      </c>
    </row>
    <row r="418" spans="1:7" x14ac:dyDescent="0.25">
      <c r="A418" t="s">
        <v>11</v>
      </c>
      <c r="B418" t="str">
        <f>Manifest[[#This Row],[newID]]</f>
        <v>Ros_Vie_5_04</v>
      </c>
      <c r="C418" t="s">
        <v>4</v>
      </c>
      <c r="D418" t="s">
        <v>64</v>
      </c>
      <c r="E418">
        <v>5</v>
      </c>
      <c r="F418">
        <f>IF(Manifest[[#This Row],[Segment]]=E417,F417+1,1)</f>
        <v>4</v>
      </c>
      <c r="G418" t="str">
        <f>"Ros_"&amp;Manifest[[#This Row],[Day]]&amp;"_"&amp;Manifest[[#This Row],[Segment]]&amp;"_"&amp;TEXT(Manifest[[#This Row],[Seq]],"00")</f>
        <v>Ros_Vie_5_04</v>
      </c>
    </row>
    <row r="419" spans="1:7" x14ac:dyDescent="0.25">
      <c r="A419" t="s">
        <v>11</v>
      </c>
      <c r="B419" t="str">
        <f>Manifest[[#This Row],[newID]]</f>
        <v>Ros_Vie_5_05</v>
      </c>
      <c r="C419" t="s">
        <v>4</v>
      </c>
      <c r="D419" t="s">
        <v>64</v>
      </c>
      <c r="E419">
        <v>5</v>
      </c>
      <c r="F419">
        <f>IF(Manifest[[#This Row],[Segment]]=E418,F418+1,1)</f>
        <v>5</v>
      </c>
      <c r="G419" t="str">
        <f>"Ros_"&amp;Manifest[[#This Row],[Day]]&amp;"_"&amp;Manifest[[#This Row],[Segment]]&amp;"_"&amp;TEXT(Manifest[[#This Row],[Seq]],"00")</f>
        <v>Ros_Vie_5_05</v>
      </c>
    </row>
    <row r="420" spans="1:7" x14ac:dyDescent="0.25">
      <c r="A420" t="s">
        <v>11</v>
      </c>
      <c r="B420" t="str">
        <f>Manifest[[#This Row],[newID]]</f>
        <v>Ros_Vie_5_06</v>
      </c>
      <c r="C420" t="s">
        <v>4</v>
      </c>
      <c r="D420" t="s">
        <v>64</v>
      </c>
      <c r="E420">
        <v>5</v>
      </c>
      <c r="F420">
        <f>IF(Manifest[[#This Row],[Segment]]=E419,F419+1,1)</f>
        <v>6</v>
      </c>
      <c r="G420" t="str">
        <f>"Ros_"&amp;Manifest[[#This Row],[Day]]&amp;"_"&amp;Manifest[[#This Row],[Segment]]&amp;"_"&amp;TEXT(Manifest[[#This Row],[Seq]],"00")</f>
        <v>Ros_Vie_5_06</v>
      </c>
    </row>
    <row r="421" spans="1:7" x14ac:dyDescent="0.25">
      <c r="A421" t="s">
        <v>11</v>
      </c>
      <c r="B421" t="str">
        <f>Manifest[[#This Row],[newID]]</f>
        <v>Ros_Vie_5_07</v>
      </c>
      <c r="C421" t="s">
        <v>4</v>
      </c>
      <c r="D421" t="s">
        <v>64</v>
      </c>
      <c r="E421">
        <v>5</v>
      </c>
      <c r="F421">
        <f>IF(Manifest[[#This Row],[Segment]]=E420,F420+1,1)</f>
        <v>7</v>
      </c>
      <c r="G421" t="str">
        <f>"Ros_"&amp;Manifest[[#This Row],[Day]]&amp;"_"&amp;Manifest[[#This Row],[Segment]]&amp;"_"&amp;TEXT(Manifest[[#This Row],[Seq]],"00")</f>
        <v>Ros_Vie_5_07</v>
      </c>
    </row>
    <row r="422" spans="1:7" x14ac:dyDescent="0.25">
      <c r="A422" t="s">
        <v>11</v>
      </c>
      <c r="B422" t="str">
        <f>Manifest[[#This Row],[newID]]</f>
        <v>Ros_Vie_5_08</v>
      </c>
      <c r="C422" t="s">
        <v>4</v>
      </c>
      <c r="D422" t="s">
        <v>64</v>
      </c>
      <c r="E422">
        <v>5</v>
      </c>
      <c r="F422">
        <f>IF(Manifest[[#This Row],[Segment]]=E421,F421+1,1)</f>
        <v>8</v>
      </c>
      <c r="G422" t="str">
        <f>"Ros_"&amp;Manifest[[#This Row],[Day]]&amp;"_"&amp;Manifest[[#This Row],[Segment]]&amp;"_"&amp;TEXT(Manifest[[#This Row],[Seq]],"00")</f>
        <v>Ros_Vie_5_08</v>
      </c>
    </row>
    <row r="423" spans="1:7" x14ac:dyDescent="0.25">
      <c r="A423" t="s">
        <v>11</v>
      </c>
      <c r="B423" t="str">
        <f>Manifest[[#This Row],[newID]]</f>
        <v>Ros_Vie_5_09</v>
      </c>
      <c r="C423" t="s">
        <v>4</v>
      </c>
      <c r="D423" t="s">
        <v>64</v>
      </c>
      <c r="E423">
        <v>5</v>
      </c>
      <c r="F423">
        <f>IF(Manifest[[#This Row],[Segment]]=E422,F422+1,1)</f>
        <v>9</v>
      </c>
      <c r="G423" t="str">
        <f>"Ros_"&amp;Manifest[[#This Row],[Day]]&amp;"_"&amp;Manifest[[#This Row],[Segment]]&amp;"_"&amp;TEXT(Manifest[[#This Row],[Seq]],"00")</f>
        <v>Ros_Vie_5_09</v>
      </c>
    </row>
    <row r="424" spans="1:7" x14ac:dyDescent="0.25">
      <c r="A424" t="s">
        <v>11</v>
      </c>
      <c r="B424" t="str">
        <f>Manifest[[#This Row],[newID]]</f>
        <v>Ros_Vie_5_10</v>
      </c>
      <c r="C424" t="s">
        <v>4</v>
      </c>
      <c r="D424" t="s">
        <v>64</v>
      </c>
      <c r="E424">
        <v>5</v>
      </c>
      <c r="F424">
        <f>IF(Manifest[[#This Row],[Segment]]=E423,F423+1,1)</f>
        <v>10</v>
      </c>
      <c r="G424" t="str">
        <f>"Ros_"&amp;Manifest[[#This Row],[Day]]&amp;"_"&amp;Manifest[[#This Row],[Segment]]&amp;"_"&amp;TEXT(Manifest[[#This Row],[Seq]],"00")</f>
        <v>Ros_Vie_5_10</v>
      </c>
    </row>
    <row r="425" spans="1:7" x14ac:dyDescent="0.25">
      <c r="A425" t="s">
        <v>11</v>
      </c>
      <c r="B425" t="str">
        <f>Manifest[[#This Row],[newID]]</f>
        <v>Ros_Vie_5_11</v>
      </c>
      <c r="C425" t="s">
        <v>4</v>
      </c>
      <c r="D425" t="s">
        <v>64</v>
      </c>
      <c r="E425">
        <v>5</v>
      </c>
      <c r="F425">
        <f>IF(Manifest[[#This Row],[Segment]]=E424,F424+1,1)</f>
        <v>11</v>
      </c>
      <c r="G425" t="str">
        <f>"Ros_"&amp;Manifest[[#This Row],[Day]]&amp;"_"&amp;Manifest[[#This Row],[Segment]]&amp;"_"&amp;TEXT(Manifest[[#This Row],[Seq]],"00")</f>
        <v>Ros_Vie_5_11</v>
      </c>
    </row>
    <row r="426" spans="1:7" x14ac:dyDescent="0.25">
      <c r="A426" t="s">
        <v>11</v>
      </c>
      <c r="B426" t="str">
        <f>Manifest[[#This Row],[newID]]</f>
        <v>Ros_Vie_5_12</v>
      </c>
      <c r="C426" t="s">
        <v>4</v>
      </c>
      <c r="D426" t="s">
        <v>64</v>
      </c>
      <c r="E426">
        <v>5</v>
      </c>
      <c r="F426">
        <f>IF(Manifest[[#This Row],[Segment]]=E425,F425+1,1)</f>
        <v>12</v>
      </c>
      <c r="G426" t="str">
        <f>"Ros_"&amp;Manifest[[#This Row],[Day]]&amp;"_"&amp;Manifest[[#This Row],[Segment]]&amp;"_"&amp;TEXT(Manifest[[#This Row],[Seq]],"00")</f>
        <v>Ros_Vie_5_12</v>
      </c>
    </row>
    <row r="427" spans="1:7" x14ac:dyDescent="0.25">
      <c r="A427" t="s">
        <v>12</v>
      </c>
      <c r="B427" t="str">
        <f>Manifest[[#This Row],[newID]]</f>
        <v>Ros_Vie_5_13</v>
      </c>
      <c r="C427" t="s">
        <v>4</v>
      </c>
      <c r="D427" t="s">
        <v>64</v>
      </c>
      <c r="E427">
        <v>5</v>
      </c>
      <c r="F427">
        <f>IF(Manifest[[#This Row],[Segment]]=E426,F426+1,1)</f>
        <v>13</v>
      </c>
      <c r="G427" t="str">
        <f>"Ros_"&amp;Manifest[[#This Row],[Day]]&amp;"_"&amp;Manifest[[#This Row],[Segment]]&amp;"_"&amp;TEXT(Manifest[[#This Row],[Seq]],"00")</f>
        <v>Ros_Vie_5_13</v>
      </c>
    </row>
    <row r="428" spans="1:7" x14ac:dyDescent="0.25">
      <c r="A428" t="s">
        <v>15</v>
      </c>
      <c r="B428" t="str">
        <f>Manifest[[#This Row],[newID]]</f>
        <v>Ros_Vie_5_14</v>
      </c>
      <c r="C428" t="s">
        <v>4</v>
      </c>
      <c r="D428" t="s">
        <v>64</v>
      </c>
      <c r="E428">
        <v>5</v>
      </c>
      <c r="F428">
        <f>IF(Manifest[[#This Row],[Segment]]=E427,F427+1,1)</f>
        <v>14</v>
      </c>
      <c r="G428" t="str">
        <f>"Ros_"&amp;Manifest[[#This Row],[Day]]&amp;"_"&amp;Manifest[[#This Row],[Segment]]&amp;"_"&amp;TEXT(Manifest[[#This Row],[Seq]],"00")</f>
        <v>Ros_Vie_5_14</v>
      </c>
    </row>
    <row r="429" spans="1:7" x14ac:dyDescent="0.25">
      <c r="A429" t="s">
        <v>20</v>
      </c>
      <c r="B429" t="str">
        <f>Manifest[[#This Row],[newID]]</f>
        <v>Ros_Vie_6_01</v>
      </c>
      <c r="C429" t="s">
        <v>4</v>
      </c>
      <c r="D429" t="s">
        <v>64</v>
      </c>
      <c r="E429">
        <v>6</v>
      </c>
      <c r="F429">
        <f>IF(Manifest[[#This Row],[Segment]]=E428,F428+1,1)</f>
        <v>1</v>
      </c>
      <c r="G429" t="str">
        <f>"Ros_"&amp;Manifest[[#This Row],[Day]]&amp;"_"&amp;Manifest[[#This Row],[Segment]]&amp;"_"&amp;TEXT(Manifest[[#This Row],[Seq]],"00")</f>
        <v>Ros_Vie_6_01</v>
      </c>
    </row>
    <row r="430" spans="1:7" x14ac:dyDescent="0.25">
      <c r="A430" t="s">
        <v>21</v>
      </c>
      <c r="B430" t="str">
        <f>Manifest[[#This Row],[newID]]</f>
        <v>Ros_Vie_6_02</v>
      </c>
      <c r="C430" t="s">
        <v>4</v>
      </c>
      <c r="D430" t="s">
        <v>64</v>
      </c>
      <c r="E430">
        <v>6</v>
      </c>
      <c r="F430">
        <f>IF(Manifest[[#This Row],[Segment]]=E429,F429+1,1)</f>
        <v>2</v>
      </c>
      <c r="G430" t="str">
        <f>"Ros_"&amp;Manifest[[#This Row],[Day]]&amp;"_"&amp;Manifest[[#This Row],[Segment]]&amp;"_"&amp;TEXT(Manifest[[#This Row],[Seq]],"00")</f>
        <v>Ros_Vie_6_02</v>
      </c>
    </row>
    <row r="431" spans="1:7" x14ac:dyDescent="0.25">
      <c r="A431" t="s">
        <v>22</v>
      </c>
      <c r="B431" t="str">
        <f>Manifest[[#This Row],[newID]]</f>
        <v>Ros_Vie_6_03</v>
      </c>
      <c r="C431" t="s">
        <v>4</v>
      </c>
      <c r="D431" t="s">
        <v>64</v>
      </c>
      <c r="E431">
        <v>6</v>
      </c>
      <c r="F431">
        <f>IF(Manifest[[#This Row],[Segment]]=E430,F430+1,1)</f>
        <v>3</v>
      </c>
      <c r="G431" t="str">
        <f>"Ros_"&amp;Manifest[[#This Row],[Day]]&amp;"_"&amp;Manifest[[#This Row],[Segment]]&amp;"_"&amp;TEXT(Manifest[[#This Row],[Seq]],"00")</f>
        <v>Ros_Vie_6_03</v>
      </c>
    </row>
    <row r="432" spans="1:7" x14ac:dyDescent="0.25">
      <c r="A432" t="s">
        <v>23</v>
      </c>
      <c r="B432" t="str">
        <f>Manifest[[#This Row],[newID]]</f>
        <v>Ros_Vie_6_04</v>
      </c>
      <c r="C432" t="s">
        <v>4</v>
      </c>
      <c r="D432" t="s">
        <v>64</v>
      </c>
      <c r="E432">
        <v>6</v>
      </c>
      <c r="F432">
        <f>IF(Manifest[[#This Row],[Segment]]=E431,F431+1,1)</f>
        <v>4</v>
      </c>
      <c r="G432" t="str">
        <f>"Ros_"&amp;Manifest[[#This Row],[Day]]&amp;"_"&amp;Manifest[[#This Row],[Segment]]&amp;"_"&amp;TEXT(Manifest[[#This Row],[Seq]],"00")</f>
        <v>Ros_Vie_6_04</v>
      </c>
    </row>
    <row r="433" spans="1:7" x14ac:dyDescent="0.25">
      <c r="A433" t="s">
        <v>24</v>
      </c>
      <c r="B433" t="str">
        <f>Manifest[[#This Row],[newID]]</f>
        <v>Ros_Vie_6_05</v>
      </c>
      <c r="C433" t="s">
        <v>4</v>
      </c>
      <c r="D433" t="s">
        <v>64</v>
      </c>
      <c r="E433">
        <v>6</v>
      </c>
      <c r="F433">
        <f>IF(Manifest[[#This Row],[Segment]]=E432,F432+1,1)</f>
        <v>5</v>
      </c>
      <c r="G433" t="str">
        <f>"Ros_"&amp;Manifest[[#This Row],[Day]]&amp;"_"&amp;Manifest[[#This Row],[Segment]]&amp;"_"&amp;TEXT(Manifest[[#This Row],[Seq]],"00")</f>
        <v>Ros_Vie_6_05</v>
      </c>
    </row>
    <row r="434" spans="1:7" x14ac:dyDescent="0.25">
      <c r="A434" t="s">
        <v>25</v>
      </c>
      <c r="B434" t="str">
        <f>Manifest[[#This Row],[newID]]</f>
        <v>Ros_Vie_6_06</v>
      </c>
      <c r="C434" t="s">
        <v>4</v>
      </c>
      <c r="D434" t="s">
        <v>64</v>
      </c>
      <c r="E434">
        <v>6</v>
      </c>
      <c r="F434">
        <f>IF(Manifest[[#This Row],[Segment]]=E433,F433+1,1)</f>
        <v>6</v>
      </c>
      <c r="G434" t="str">
        <f>"Ros_"&amp;Manifest[[#This Row],[Day]]&amp;"_"&amp;Manifest[[#This Row],[Segment]]&amp;"_"&amp;TEXT(Manifest[[#This Row],[Seq]],"00")</f>
        <v>Ros_Vie_6_06</v>
      </c>
    </row>
    <row r="435" spans="1:7" x14ac:dyDescent="0.25">
      <c r="A435" t="s">
        <v>26</v>
      </c>
      <c r="B435" t="str">
        <f>Manifest[[#This Row],[newID]]</f>
        <v>Ros_Vie_6_07</v>
      </c>
      <c r="C435" t="s">
        <v>4</v>
      </c>
      <c r="D435" t="s">
        <v>64</v>
      </c>
      <c r="E435">
        <v>6</v>
      </c>
      <c r="F435">
        <f>IF(Manifest[[#This Row],[Segment]]=E434,F434+1,1)</f>
        <v>7</v>
      </c>
      <c r="G435" t="str">
        <f>"Ros_"&amp;Manifest[[#This Row],[Day]]&amp;"_"&amp;Manifest[[#This Row],[Segment]]&amp;"_"&amp;TEXT(Manifest[[#This Row],[Seq]],"00")</f>
        <v>Ros_Vie_6_07</v>
      </c>
    </row>
    <row r="436" spans="1:7" x14ac:dyDescent="0.25">
      <c r="A436" t="s">
        <v>27</v>
      </c>
      <c r="B436" t="str">
        <f>Manifest[[#This Row],[newID]]</f>
        <v>Ros_Vie_6_08</v>
      </c>
      <c r="C436" t="s">
        <v>4</v>
      </c>
      <c r="D436" t="s">
        <v>64</v>
      </c>
      <c r="E436">
        <v>6</v>
      </c>
      <c r="F436">
        <f>IF(Manifest[[#This Row],[Segment]]=E435,F435+1,1)</f>
        <v>8</v>
      </c>
      <c r="G436" t="str">
        <f>"Ros_"&amp;Manifest[[#This Row],[Day]]&amp;"_"&amp;Manifest[[#This Row],[Segment]]&amp;"_"&amp;TEXT(Manifest[[#This Row],[Seq]],"00")</f>
        <v>Ros_Vie_6_08</v>
      </c>
    </row>
    <row r="437" spans="1:7" x14ac:dyDescent="0.25">
      <c r="A437" t="s">
        <v>28</v>
      </c>
      <c r="B437" t="str">
        <f>Manifest[[#This Row],[newID]]</f>
        <v>Ros_Vie_6_09</v>
      </c>
      <c r="C437" t="s">
        <v>4</v>
      </c>
      <c r="D437" t="s">
        <v>64</v>
      </c>
      <c r="E437">
        <v>6</v>
      </c>
      <c r="F437">
        <f>IF(Manifest[[#This Row],[Segment]]=E436,F436+1,1)</f>
        <v>9</v>
      </c>
      <c r="G437" t="str">
        <f>"Ros_"&amp;Manifest[[#This Row],[Day]]&amp;"_"&amp;Manifest[[#This Row],[Segment]]&amp;"_"&amp;TEXT(Manifest[[#This Row],[Seq]],"00")</f>
        <v>Ros_Vie_6_09</v>
      </c>
    </row>
    <row r="438" spans="1:7" x14ac:dyDescent="0.25">
      <c r="A438" t="s">
        <v>29</v>
      </c>
      <c r="B438" t="str">
        <f>Manifest[[#This Row],[newID]]</f>
        <v>Ros_Vie_6_10</v>
      </c>
      <c r="C438" t="s">
        <v>4</v>
      </c>
      <c r="D438" t="s">
        <v>64</v>
      </c>
      <c r="E438">
        <v>6</v>
      </c>
      <c r="F438">
        <f>IF(Manifest[[#This Row],[Segment]]=E437,F437+1,1)</f>
        <v>10</v>
      </c>
      <c r="G438" t="str">
        <f>"Ros_"&amp;Manifest[[#This Row],[Day]]&amp;"_"&amp;Manifest[[#This Row],[Segment]]&amp;"_"&amp;TEXT(Manifest[[#This Row],[Seq]],"00")</f>
        <v>Ros_Vie_6_10</v>
      </c>
    </row>
    <row r="439" spans="1:7" x14ac:dyDescent="0.25">
      <c r="A439" t="s">
        <v>30</v>
      </c>
      <c r="B439" t="str">
        <f>Manifest[[#This Row],[newID]]</f>
        <v>Ros_Vie_6_11</v>
      </c>
      <c r="C439" t="s">
        <v>4</v>
      </c>
      <c r="D439" t="s">
        <v>64</v>
      </c>
      <c r="E439">
        <v>6</v>
      </c>
      <c r="F439">
        <f>IF(Manifest[[#This Row],[Segment]]=E438,F438+1,1)</f>
        <v>11</v>
      </c>
      <c r="G439" t="str">
        <f>"Ros_"&amp;Manifest[[#This Row],[Day]]&amp;"_"&amp;Manifest[[#This Row],[Segment]]&amp;"_"&amp;TEXT(Manifest[[#This Row],[Seq]],"00")</f>
        <v>Ros_Vie_6_11</v>
      </c>
    </row>
    <row r="440" spans="1:7" x14ac:dyDescent="0.25">
      <c r="A440" t="s">
        <v>31</v>
      </c>
      <c r="B440" t="str">
        <f>Manifest[[#This Row],[newID]]</f>
        <v>Ros_Vie_6_12</v>
      </c>
      <c r="C440" t="s">
        <v>4</v>
      </c>
      <c r="D440" t="s">
        <v>64</v>
      </c>
      <c r="E440">
        <v>6</v>
      </c>
      <c r="F440">
        <f>IF(Manifest[[#This Row],[Segment]]=E439,F439+1,1)</f>
        <v>12</v>
      </c>
      <c r="G440" t="str">
        <f>"Ros_"&amp;Manifest[[#This Row],[Day]]&amp;"_"&amp;Manifest[[#This Row],[Segment]]&amp;"_"&amp;TEXT(Manifest[[#This Row],[Seq]],"00")</f>
        <v>Ros_Vie_6_12</v>
      </c>
    </row>
    <row r="441" spans="1:7" x14ac:dyDescent="0.25">
      <c r="A441" t="s">
        <v>74</v>
      </c>
      <c r="B441" t="str">
        <f>Manifest[[#This Row],[newID]]</f>
        <v>Ros_Sab_0_01</v>
      </c>
      <c r="C441" t="s">
        <v>4</v>
      </c>
      <c r="D441" t="s">
        <v>65</v>
      </c>
      <c r="E441">
        <v>0</v>
      </c>
      <c r="F441">
        <f>IF(Manifest[[#This Row],[Segment]]=E440,F440+1,1)</f>
        <v>1</v>
      </c>
      <c r="G441" t="str">
        <f>"Ros_"&amp;Manifest[[#This Row],[Day]]&amp;"_"&amp;Manifest[[#This Row],[Segment]]&amp;"_"&amp;TEXT(Manifest[[#This Row],[Seq]],"00")</f>
        <v>Ros_Sab_0_01</v>
      </c>
    </row>
    <row r="442" spans="1:7" x14ac:dyDescent="0.25">
      <c r="A442" t="s">
        <v>7</v>
      </c>
      <c r="B442" t="str">
        <f>Manifest[[#This Row],[newID]]</f>
        <v>Ros_Sab_0_02</v>
      </c>
      <c r="C442" t="s">
        <v>4</v>
      </c>
      <c r="D442" t="s">
        <v>65</v>
      </c>
      <c r="E442">
        <v>0</v>
      </c>
      <c r="F442">
        <f>IF(Manifest[[#This Row],[Segment]]=E441,F441+1,1)</f>
        <v>2</v>
      </c>
      <c r="G442" t="str">
        <f>"Ros_"&amp;Manifest[[#This Row],[Day]]&amp;"_"&amp;Manifest[[#This Row],[Segment]]&amp;"_"&amp;TEXT(Manifest[[#This Row],[Seq]],"00")</f>
        <v>Ros_Sab_0_02</v>
      </c>
    </row>
    <row r="443" spans="1:7" x14ac:dyDescent="0.25">
      <c r="A443" t="s">
        <v>8</v>
      </c>
      <c r="B443" t="str">
        <f>Manifest[[#This Row],[newID]]</f>
        <v>Ros_Sab_0_03</v>
      </c>
      <c r="C443" t="s">
        <v>4</v>
      </c>
      <c r="D443" t="s">
        <v>65</v>
      </c>
      <c r="E443">
        <v>0</v>
      </c>
      <c r="F443">
        <f>IF(Manifest[[#This Row],[Segment]]=E442,F442+1,1)</f>
        <v>3</v>
      </c>
      <c r="G443" t="str">
        <f>"Ros_"&amp;Manifest[[#This Row],[Day]]&amp;"_"&amp;Manifest[[#This Row],[Segment]]&amp;"_"&amp;TEXT(Manifest[[#This Row],[Seq]],"00")</f>
        <v>Ros_Sab_0_03</v>
      </c>
    </row>
    <row r="444" spans="1:7" x14ac:dyDescent="0.25">
      <c r="A444" t="s">
        <v>9</v>
      </c>
      <c r="B444" t="str">
        <f>Manifest[[#This Row],[newID]]</f>
        <v>Ros_Sab_0_04</v>
      </c>
      <c r="C444" t="s">
        <v>4</v>
      </c>
      <c r="D444" t="s">
        <v>65</v>
      </c>
      <c r="E444">
        <v>0</v>
      </c>
      <c r="F444">
        <f>IF(Manifest[[#This Row],[Segment]]=E443,F443+1,1)</f>
        <v>4</v>
      </c>
      <c r="G444" t="str">
        <f>"Ros_"&amp;Manifest[[#This Row],[Day]]&amp;"_"&amp;Manifest[[#This Row],[Segment]]&amp;"_"&amp;TEXT(Manifest[[#This Row],[Seq]],"00")</f>
        <v>Ros_Sab_0_04</v>
      </c>
    </row>
    <row r="445" spans="1:7" x14ac:dyDescent="0.25">
      <c r="A445" t="s">
        <v>10</v>
      </c>
      <c r="B445" t="str">
        <f>Manifest[[#This Row],[newID]]</f>
        <v>Ros_Sab_0_05</v>
      </c>
      <c r="C445" t="s">
        <v>4</v>
      </c>
      <c r="D445" t="s">
        <v>65</v>
      </c>
      <c r="E445">
        <v>0</v>
      </c>
      <c r="F445">
        <f>IF(Manifest[[#This Row],[Segment]]=E444,F444+1,1)</f>
        <v>5</v>
      </c>
      <c r="G445" t="str">
        <f>"Ros_"&amp;Manifest[[#This Row],[Day]]&amp;"_"&amp;Manifest[[#This Row],[Segment]]&amp;"_"&amp;TEXT(Manifest[[#This Row],[Seq]],"00")</f>
        <v>Ros_Sab_0_05</v>
      </c>
    </row>
    <row r="446" spans="1:7" x14ac:dyDescent="0.25">
      <c r="A446" t="s">
        <v>11</v>
      </c>
      <c r="B446" t="str">
        <f>Manifest[[#This Row],[newID]]</f>
        <v>Ros_Sab_0_06</v>
      </c>
      <c r="C446" t="s">
        <v>4</v>
      </c>
      <c r="D446" t="s">
        <v>65</v>
      </c>
      <c r="E446">
        <v>0</v>
      </c>
      <c r="F446">
        <f>IF(Manifest[[#This Row],[Segment]]=E445,F445+1,1)</f>
        <v>6</v>
      </c>
      <c r="G446" t="str">
        <f>"Ros_"&amp;Manifest[[#This Row],[Day]]&amp;"_"&amp;Manifest[[#This Row],[Segment]]&amp;"_"&amp;TEXT(Manifest[[#This Row],[Seq]],"00")</f>
        <v>Ros_Sab_0_06</v>
      </c>
    </row>
    <row r="447" spans="1:7" x14ac:dyDescent="0.25">
      <c r="A447" t="s">
        <v>11</v>
      </c>
      <c r="B447" t="str">
        <f>Manifest[[#This Row],[newID]]</f>
        <v>Ros_Sab_0_07</v>
      </c>
      <c r="C447" t="s">
        <v>4</v>
      </c>
      <c r="D447" t="s">
        <v>65</v>
      </c>
      <c r="E447">
        <v>0</v>
      </c>
      <c r="F447">
        <f>IF(Manifest[[#This Row],[Segment]]=E446,F446+1,1)</f>
        <v>7</v>
      </c>
      <c r="G447" t="str">
        <f>"Ros_"&amp;Manifest[[#This Row],[Day]]&amp;"_"&amp;Manifest[[#This Row],[Segment]]&amp;"_"&amp;TEXT(Manifest[[#This Row],[Seq]],"00")</f>
        <v>Ros_Sab_0_07</v>
      </c>
    </row>
    <row r="448" spans="1:7" x14ac:dyDescent="0.25">
      <c r="A448" t="s">
        <v>11</v>
      </c>
      <c r="B448" t="str">
        <f>Manifest[[#This Row],[newID]]</f>
        <v>Ros_Sab_0_08</v>
      </c>
      <c r="C448" t="s">
        <v>4</v>
      </c>
      <c r="D448" t="s">
        <v>65</v>
      </c>
      <c r="E448">
        <v>0</v>
      </c>
      <c r="F448">
        <f>IF(Manifest[[#This Row],[Segment]]=E447,F447+1,1)</f>
        <v>8</v>
      </c>
      <c r="G448" t="str">
        <f>"Ros_"&amp;Manifest[[#This Row],[Day]]&amp;"_"&amp;Manifest[[#This Row],[Segment]]&amp;"_"&amp;TEXT(Manifest[[#This Row],[Seq]],"00")</f>
        <v>Ros_Sab_0_08</v>
      </c>
    </row>
    <row r="449" spans="1:7" x14ac:dyDescent="0.25">
      <c r="A449" t="s">
        <v>12</v>
      </c>
      <c r="B449" t="str">
        <f>Manifest[[#This Row],[newID]]</f>
        <v>Ros_Sab_0_09</v>
      </c>
      <c r="C449" t="s">
        <v>4</v>
      </c>
      <c r="D449" t="s">
        <v>65</v>
      </c>
      <c r="E449">
        <v>0</v>
      </c>
      <c r="F449">
        <f>IF(Manifest[[#This Row],[Segment]]=E448,F448+1,1)</f>
        <v>9</v>
      </c>
      <c r="G449" t="str">
        <f>"Ros_"&amp;Manifest[[#This Row],[Day]]&amp;"_"&amp;Manifest[[#This Row],[Segment]]&amp;"_"&amp;TEXT(Manifest[[#This Row],[Seq]],"00")</f>
        <v>Ros_Sab_0_09</v>
      </c>
    </row>
    <row r="450" spans="1:7" x14ac:dyDescent="0.25">
      <c r="A450" t="s">
        <v>13</v>
      </c>
      <c r="B450" t="str">
        <f>Manifest[[#This Row],[newID]]</f>
        <v>Ros_Sab_0_10</v>
      </c>
      <c r="C450" t="s">
        <v>4</v>
      </c>
      <c r="D450" t="s">
        <v>65</v>
      </c>
      <c r="E450">
        <v>0</v>
      </c>
      <c r="F450">
        <f>IF(Manifest[[#This Row],[Segment]]=E449,F449+1,1)</f>
        <v>10</v>
      </c>
      <c r="G450" t="str">
        <f>"Ros_"&amp;Manifest[[#This Row],[Day]]&amp;"_"&amp;Manifest[[#This Row],[Segment]]&amp;"_"&amp;TEXT(Manifest[[#This Row],[Seq]],"00")</f>
        <v>Ros_Sab_0_10</v>
      </c>
    </row>
    <row r="451" spans="1:7" x14ac:dyDescent="0.25">
      <c r="A451" t="s">
        <v>14</v>
      </c>
      <c r="B451" t="str">
        <f>Manifest[[#This Row],[newID]]</f>
        <v>Ros_Sab_1_01</v>
      </c>
      <c r="C451" t="s">
        <v>4</v>
      </c>
      <c r="D451" t="s">
        <v>65</v>
      </c>
      <c r="E451">
        <v>1</v>
      </c>
      <c r="F451">
        <f>IF(Manifest[[#This Row],[Segment]]=E450,F450+1,1)</f>
        <v>1</v>
      </c>
      <c r="G451" t="str">
        <f>"Ros_"&amp;Manifest[[#This Row],[Day]]&amp;"_"&amp;Manifest[[#This Row],[Segment]]&amp;"_"&amp;TEXT(Manifest[[#This Row],[Seq]],"00")</f>
        <v>Ros_Sab_1_01</v>
      </c>
    </row>
    <row r="452" spans="1:7" x14ac:dyDescent="0.25">
      <c r="A452" t="s">
        <v>10</v>
      </c>
      <c r="B452" t="str">
        <f>Manifest[[#This Row],[newID]]</f>
        <v>Ros_Sab_1_02</v>
      </c>
      <c r="C452" t="s">
        <v>4</v>
      </c>
      <c r="D452" t="s">
        <v>65</v>
      </c>
      <c r="E452">
        <v>1</v>
      </c>
      <c r="F452">
        <f>IF(Manifest[[#This Row],[Segment]]=E451,F451+1,1)</f>
        <v>2</v>
      </c>
      <c r="G452" t="str">
        <f>"Ros_"&amp;Manifest[[#This Row],[Day]]&amp;"_"&amp;Manifest[[#This Row],[Segment]]&amp;"_"&amp;TEXT(Manifest[[#This Row],[Seq]],"00")</f>
        <v>Ros_Sab_1_02</v>
      </c>
    </row>
    <row r="453" spans="1:7" x14ac:dyDescent="0.25">
      <c r="A453" t="s">
        <v>11</v>
      </c>
      <c r="B453" t="str">
        <f>Manifest[[#This Row],[newID]]</f>
        <v>Ros_Sab_1_03</v>
      </c>
      <c r="C453" t="s">
        <v>4</v>
      </c>
      <c r="D453" t="s">
        <v>65</v>
      </c>
      <c r="E453">
        <v>1</v>
      </c>
      <c r="F453">
        <f>IF(Manifest[[#This Row],[Segment]]=E452,F452+1,1)</f>
        <v>3</v>
      </c>
      <c r="G453" t="str">
        <f>"Ros_"&amp;Manifest[[#This Row],[Day]]&amp;"_"&amp;Manifest[[#This Row],[Segment]]&amp;"_"&amp;TEXT(Manifest[[#This Row],[Seq]],"00")</f>
        <v>Ros_Sab_1_03</v>
      </c>
    </row>
    <row r="454" spans="1:7" x14ac:dyDescent="0.25">
      <c r="A454" t="s">
        <v>11</v>
      </c>
      <c r="B454" t="str">
        <f>Manifest[[#This Row],[newID]]</f>
        <v>Ros_Sab_1_04</v>
      </c>
      <c r="C454" t="s">
        <v>4</v>
      </c>
      <c r="D454" t="s">
        <v>65</v>
      </c>
      <c r="E454">
        <v>1</v>
      </c>
      <c r="F454">
        <f>IF(Manifest[[#This Row],[Segment]]=E453,F453+1,1)</f>
        <v>4</v>
      </c>
      <c r="G454" t="str">
        <f>"Ros_"&amp;Manifest[[#This Row],[Day]]&amp;"_"&amp;Manifest[[#This Row],[Segment]]&amp;"_"&amp;TEXT(Manifest[[#This Row],[Seq]],"00")</f>
        <v>Ros_Sab_1_04</v>
      </c>
    </row>
    <row r="455" spans="1:7" x14ac:dyDescent="0.25">
      <c r="A455" t="s">
        <v>11</v>
      </c>
      <c r="B455" t="str">
        <f>Manifest[[#This Row],[newID]]</f>
        <v>Ros_Sab_1_05</v>
      </c>
      <c r="C455" t="s">
        <v>4</v>
      </c>
      <c r="D455" t="s">
        <v>65</v>
      </c>
      <c r="E455">
        <v>1</v>
      </c>
      <c r="F455">
        <f>IF(Manifest[[#This Row],[Segment]]=E454,F454+1,1)</f>
        <v>5</v>
      </c>
      <c r="G455" t="str">
        <f>"Ros_"&amp;Manifest[[#This Row],[Day]]&amp;"_"&amp;Manifest[[#This Row],[Segment]]&amp;"_"&amp;TEXT(Manifest[[#This Row],[Seq]],"00")</f>
        <v>Ros_Sab_1_05</v>
      </c>
    </row>
    <row r="456" spans="1:7" x14ac:dyDescent="0.25">
      <c r="A456" t="s">
        <v>11</v>
      </c>
      <c r="B456" t="str">
        <f>Manifest[[#This Row],[newID]]</f>
        <v>Ros_Sab_1_06</v>
      </c>
      <c r="C456" t="s">
        <v>4</v>
      </c>
      <c r="D456" t="s">
        <v>65</v>
      </c>
      <c r="E456">
        <v>1</v>
      </c>
      <c r="F456">
        <f>IF(Manifest[[#This Row],[Segment]]=E455,F455+1,1)</f>
        <v>6</v>
      </c>
      <c r="G456" t="str">
        <f>"Ros_"&amp;Manifest[[#This Row],[Day]]&amp;"_"&amp;Manifest[[#This Row],[Segment]]&amp;"_"&amp;TEXT(Manifest[[#This Row],[Seq]],"00")</f>
        <v>Ros_Sab_1_06</v>
      </c>
    </row>
    <row r="457" spans="1:7" x14ac:dyDescent="0.25">
      <c r="A457" t="s">
        <v>11</v>
      </c>
      <c r="B457" t="str">
        <f>Manifest[[#This Row],[newID]]</f>
        <v>Ros_Sab_1_07</v>
      </c>
      <c r="C457" t="s">
        <v>4</v>
      </c>
      <c r="D457" t="s">
        <v>65</v>
      </c>
      <c r="E457">
        <v>1</v>
      </c>
      <c r="F457">
        <f>IF(Manifest[[#This Row],[Segment]]=E456,F456+1,1)</f>
        <v>7</v>
      </c>
      <c r="G457" t="str">
        <f>"Ros_"&amp;Manifest[[#This Row],[Day]]&amp;"_"&amp;Manifest[[#This Row],[Segment]]&amp;"_"&amp;TEXT(Manifest[[#This Row],[Seq]],"00")</f>
        <v>Ros_Sab_1_07</v>
      </c>
    </row>
    <row r="458" spans="1:7" x14ac:dyDescent="0.25">
      <c r="A458" t="s">
        <v>11</v>
      </c>
      <c r="B458" t="str">
        <f>Manifest[[#This Row],[newID]]</f>
        <v>Ros_Sab_1_08</v>
      </c>
      <c r="C458" t="s">
        <v>4</v>
      </c>
      <c r="D458" t="s">
        <v>65</v>
      </c>
      <c r="E458">
        <v>1</v>
      </c>
      <c r="F458">
        <f>IF(Manifest[[#This Row],[Segment]]=E457,F457+1,1)</f>
        <v>8</v>
      </c>
      <c r="G458" t="str">
        <f>"Ros_"&amp;Manifest[[#This Row],[Day]]&amp;"_"&amp;Manifest[[#This Row],[Segment]]&amp;"_"&amp;TEXT(Manifest[[#This Row],[Seq]],"00")</f>
        <v>Ros_Sab_1_08</v>
      </c>
    </row>
    <row r="459" spans="1:7" x14ac:dyDescent="0.25">
      <c r="A459" t="s">
        <v>11</v>
      </c>
      <c r="B459" t="str">
        <f>Manifest[[#This Row],[newID]]</f>
        <v>Ros_Sab_1_09</v>
      </c>
      <c r="C459" t="s">
        <v>4</v>
      </c>
      <c r="D459" t="s">
        <v>65</v>
      </c>
      <c r="E459">
        <v>1</v>
      </c>
      <c r="F459">
        <f>IF(Manifest[[#This Row],[Segment]]=E458,F458+1,1)</f>
        <v>9</v>
      </c>
      <c r="G459" t="str">
        <f>"Ros_"&amp;Manifest[[#This Row],[Day]]&amp;"_"&amp;Manifest[[#This Row],[Segment]]&amp;"_"&amp;TEXT(Manifest[[#This Row],[Seq]],"00")</f>
        <v>Ros_Sab_1_09</v>
      </c>
    </row>
    <row r="460" spans="1:7" x14ac:dyDescent="0.25">
      <c r="A460" t="s">
        <v>11</v>
      </c>
      <c r="B460" t="str">
        <f>Manifest[[#This Row],[newID]]</f>
        <v>Ros_Sab_1_10</v>
      </c>
      <c r="C460" t="s">
        <v>4</v>
      </c>
      <c r="D460" t="s">
        <v>65</v>
      </c>
      <c r="E460">
        <v>1</v>
      </c>
      <c r="F460">
        <f>IF(Manifest[[#This Row],[Segment]]=E459,F459+1,1)</f>
        <v>10</v>
      </c>
      <c r="G460" t="str">
        <f>"Ros_"&amp;Manifest[[#This Row],[Day]]&amp;"_"&amp;Manifest[[#This Row],[Segment]]&amp;"_"&amp;TEXT(Manifest[[#This Row],[Seq]],"00")</f>
        <v>Ros_Sab_1_10</v>
      </c>
    </row>
    <row r="461" spans="1:7" x14ac:dyDescent="0.25">
      <c r="A461" t="s">
        <v>11</v>
      </c>
      <c r="B461" t="str">
        <f>Manifest[[#This Row],[newID]]</f>
        <v>Ros_Sab_1_11</v>
      </c>
      <c r="C461" t="s">
        <v>4</v>
      </c>
      <c r="D461" t="s">
        <v>65</v>
      </c>
      <c r="E461">
        <v>1</v>
      </c>
      <c r="F461">
        <f>IF(Manifest[[#This Row],[Segment]]=E460,F460+1,1)</f>
        <v>11</v>
      </c>
      <c r="G461" t="str">
        <f>"Ros_"&amp;Manifest[[#This Row],[Day]]&amp;"_"&amp;Manifest[[#This Row],[Segment]]&amp;"_"&amp;TEXT(Manifest[[#This Row],[Seq]],"00")</f>
        <v>Ros_Sab_1_11</v>
      </c>
    </row>
    <row r="462" spans="1:7" x14ac:dyDescent="0.25">
      <c r="A462" t="s">
        <v>11</v>
      </c>
      <c r="B462" t="str">
        <f>Manifest[[#This Row],[newID]]</f>
        <v>Ros_Sab_1_12</v>
      </c>
      <c r="C462" t="s">
        <v>4</v>
      </c>
      <c r="D462" t="s">
        <v>65</v>
      </c>
      <c r="E462">
        <v>1</v>
      </c>
      <c r="F462">
        <f>IF(Manifest[[#This Row],[Segment]]=E461,F461+1,1)</f>
        <v>12</v>
      </c>
      <c r="G462" t="str">
        <f>"Ros_"&amp;Manifest[[#This Row],[Day]]&amp;"_"&amp;Manifest[[#This Row],[Segment]]&amp;"_"&amp;TEXT(Manifest[[#This Row],[Seq]],"00")</f>
        <v>Ros_Sab_1_12</v>
      </c>
    </row>
    <row r="463" spans="1:7" x14ac:dyDescent="0.25">
      <c r="A463" t="s">
        <v>12</v>
      </c>
      <c r="B463" t="str">
        <f>Manifest[[#This Row],[newID]]</f>
        <v>Ros_Sab_1_13</v>
      </c>
      <c r="C463" t="s">
        <v>4</v>
      </c>
      <c r="D463" t="s">
        <v>65</v>
      </c>
      <c r="E463">
        <v>1</v>
      </c>
      <c r="F463">
        <f>IF(Manifest[[#This Row],[Segment]]=E462,F462+1,1)</f>
        <v>13</v>
      </c>
      <c r="G463" t="str">
        <f>"Ros_"&amp;Manifest[[#This Row],[Day]]&amp;"_"&amp;Manifest[[#This Row],[Segment]]&amp;"_"&amp;TEXT(Manifest[[#This Row],[Seq]],"00")</f>
        <v>Ros_Sab_1_13</v>
      </c>
    </row>
    <row r="464" spans="1:7" x14ac:dyDescent="0.25">
      <c r="A464" t="s">
        <v>15</v>
      </c>
      <c r="B464" t="str">
        <f>Manifest[[#This Row],[newID]]</f>
        <v>Ros_Sab_1_14</v>
      </c>
      <c r="C464" t="s">
        <v>4</v>
      </c>
      <c r="D464" t="s">
        <v>65</v>
      </c>
      <c r="E464">
        <v>1</v>
      </c>
      <c r="F464">
        <f>IF(Manifest[[#This Row],[Segment]]=E463,F463+1,1)</f>
        <v>14</v>
      </c>
      <c r="G464" t="str">
        <f>"Ros_"&amp;Manifest[[#This Row],[Day]]&amp;"_"&amp;Manifest[[#This Row],[Segment]]&amp;"_"&amp;TEXT(Manifest[[#This Row],[Seq]],"00")</f>
        <v>Ros_Sab_1_14</v>
      </c>
    </row>
    <row r="465" spans="1:7" x14ac:dyDescent="0.25">
      <c r="A465" t="s">
        <v>16</v>
      </c>
      <c r="B465" t="str">
        <f>Manifest[[#This Row],[newID]]</f>
        <v>Ros_Sab_2_01</v>
      </c>
      <c r="C465" t="s">
        <v>4</v>
      </c>
      <c r="D465" t="s">
        <v>65</v>
      </c>
      <c r="E465">
        <v>2</v>
      </c>
      <c r="F465">
        <f>IF(Manifest[[#This Row],[Segment]]=E464,F464+1,1)</f>
        <v>1</v>
      </c>
      <c r="G465" t="str">
        <f>"Ros_"&amp;Manifest[[#This Row],[Day]]&amp;"_"&amp;Manifest[[#This Row],[Segment]]&amp;"_"&amp;TEXT(Manifest[[#This Row],[Seq]],"00")</f>
        <v>Ros_Sab_2_01</v>
      </c>
    </row>
    <row r="466" spans="1:7" x14ac:dyDescent="0.25">
      <c r="A466" t="s">
        <v>10</v>
      </c>
      <c r="B466" t="str">
        <f>Manifest[[#This Row],[newID]]</f>
        <v>Ros_Sab_2_02</v>
      </c>
      <c r="C466" t="s">
        <v>4</v>
      </c>
      <c r="D466" t="s">
        <v>65</v>
      </c>
      <c r="E466">
        <v>2</v>
      </c>
      <c r="F466">
        <f>IF(Manifest[[#This Row],[Segment]]=E465,F465+1,1)</f>
        <v>2</v>
      </c>
      <c r="G466" t="str">
        <f>"Ros_"&amp;Manifest[[#This Row],[Day]]&amp;"_"&amp;Manifest[[#This Row],[Segment]]&amp;"_"&amp;TEXT(Manifest[[#This Row],[Seq]],"00")</f>
        <v>Ros_Sab_2_02</v>
      </c>
    </row>
    <row r="467" spans="1:7" x14ac:dyDescent="0.25">
      <c r="A467" t="s">
        <v>11</v>
      </c>
      <c r="B467" t="str">
        <f>Manifest[[#This Row],[newID]]</f>
        <v>Ros_Sab_2_03</v>
      </c>
      <c r="C467" t="s">
        <v>4</v>
      </c>
      <c r="D467" t="s">
        <v>65</v>
      </c>
      <c r="E467">
        <v>2</v>
      </c>
      <c r="F467">
        <f>IF(Manifest[[#This Row],[Segment]]=E466,F466+1,1)</f>
        <v>3</v>
      </c>
      <c r="G467" t="str">
        <f>"Ros_"&amp;Manifest[[#This Row],[Day]]&amp;"_"&amp;Manifest[[#This Row],[Segment]]&amp;"_"&amp;TEXT(Manifest[[#This Row],[Seq]],"00")</f>
        <v>Ros_Sab_2_03</v>
      </c>
    </row>
    <row r="468" spans="1:7" x14ac:dyDescent="0.25">
      <c r="A468" t="s">
        <v>11</v>
      </c>
      <c r="B468" t="str">
        <f>Manifest[[#This Row],[newID]]</f>
        <v>Ros_Sab_2_04</v>
      </c>
      <c r="C468" t="s">
        <v>4</v>
      </c>
      <c r="D468" t="s">
        <v>65</v>
      </c>
      <c r="E468">
        <v>2</v>
      </c>
      <c r="F468">
        <f>IF(Manifest[[#This Row],[Segment]]=E467,F467+1,1)</f>
        <v>4</v>
      </c>
      <c r="G468" t="str">
        <f>"Ros_"&amp;Manifest[[#This Row],[Day]]&amp;"_"&amp;Manifest[[#This Row],[Segment]]&amp;"_"&amp;TEXT(Manifest[[#This Row],[Seq]],"00")</f>
        <v>Ros_Sab_2_04</v>
      </c>
    </row>
    <row r="469" spans="1:7" x14ac:dyDescent="0.25">
      <c r="A469" t="s">
        <v>11</v>
      </c>
      <c r="B469" t="str">
        <f>Manifest[[#This Row],[newID]]</f>
        <v>Ros_Sab_2_05</v>
      </c>
      <c r="C469" t="s">
        <v>4</v>
      </c>
      <c r="D469" t="s">
        <v>65</v>
      </c>
      <c r="E469">
        <v>2</v>
      </c>
      <c r="F469">
        <f>IF(Manifest[[#This Row],[Segment]]=E468,F468+1,1)</f>
        <v>5</v>
      </c>
      <c r="G469" t="str">
        <f>"Ros_"&amp;Manifest[[#This Row],[Day]]&amp;"_"&amp;Manifest[[#This Row],[Segment]]&amp;"_"&amp;TEXT(Manifest[[#This Row],[Seq]],"00")</f>
        <v>Ros_Sab_2_05</v>
      </c>
    </row>
    <row r="470" spans="1:7" x14ac:dyDescent="0.25">
      <c r="A470" t="s">
        <v>11</v>
      </c>
      <c r="B470" t="str">
        <f>Manifest[[#This Row],[newID]]</f>
        <v>Ros_Sab_2_06</v>
      </c>
      <c r="C470" t="s">
        <v>4</v>
      </c>
      <c r="D470" t="s">
        <v>65</v>
      </c>
      <c r="E470">
        <v>2</v>
      </c>
      <c r="F470">
        <f>IF(Manifest[[#This Row],[Segment]]=E469,F469+1,1)</f>
        <v>6</v>
      </c>
      <c r="G470" t="str">
        <f>"Ros_"&amp;Manifest[[#This Row],[Day]]&amp;"_"&amp;Manifest[[#This Row],[Segment]]&amp;"_"&amp;TEXT(Manifest[[#This Row],[Seq]],"00")</f>
        <v>Ros_Sab_2_06</v>
      </c>
    </row>
    <row r="471" spans="1:7" x14ac:dyDescent="0.25">
      <c r="A471" t="s">
        <v>11</v>
      </c>
      <c r="B471" t="str">
        <f>Manifest[[#This Row],[newID]]</f>
        <v>Ros_Sab_2_07</v>
      </c>
      <c r="C471" t="s">
        <v>4</v>
      </c>
      <c r="D471" t="s">
        <v>65</v>
      </c>
      <c r="E471">
        <v>2</v>
      </c>
      <c r="F471">
        <f>IF(Manifest[[#This Row],[Segment]]=E470,F470+1,1)</f>
        <v>7</v>
      </c>
      <c r="G471" t="str">
        <f>"Ros_"&amp;Manifest[[#This Row],[Day]]&amp;"_"&amp;Manifest[[#This Row],[Segment]]&amp;"_"&amp;TEXT(Manifest[[#This Row],[Seq]],"00")</f>
        <v>Ros_Sab_2_07</v>
      </c>
    </row>
    <row r="472" spans="1:7" x14ac:dyDescent="0.25">
      <c r="A472" t="s">
        <v>11</v>
      </c>
      <c r="B472" t="str">
        <f>Manifest[[#This Row],[newID]]</f>
        <v>Ros_Sab_2_08</v>
      </c>
      <c r="C472" t="s">
        <v>4</v>
      </c>
      <c r="D472" t="s">
        <v>65</v>
      </c>
      <c r="E472">
        <v>2</v>
      </c>
      <c r="F472">
        <f>IF(Manifest[[#This Row],[Segment]]=E471,F471+1,1)</f>
        <v>8</v>
      </c>
      <c r="G472" t="str">
        <f>"Ros_"&amp;Manifest[[#This Row],[Day]]&amp;"_"&amp;Manifest[[#This Row],[Segment]]&amp;"_"&amp;TEXT(Manifest[[#This Row],[Seq]],"00")</f>
        <v>Ros_Sab_2_08</v>
      </c>
    </row>
    <row r="473" spans="1:7" x14ac:dyDescent="0.25">
      <c r="A473" t="s">
        <v>11</v>
      </c>
      <c r="B473" t="str">
        <f>Manifest[[#This Row],[newID]]</f>
        <v>Ros_Sab_2_09</v>
      </c>
      <c r="C473" t="s">
        <v>4</v>
      </c>
      <c r="D473" t="s">
        <v>65</v>
      </c>
      <c r="E473">
        <v>2</v>
      </c>
      <c r="F473">
        <f>IF(Manifest[[#This Row],[Segment]]=E472,F472+1,1)</f>
        <v>9</v>
      </c>
      <c r="G473" t="str">
        <f>"Ros_"&amp;Manifest[[#This Row],[Day]]&amp;"_"&amp;Manifest[[#This Row],[Segment]]&amp;"_"&amp;TEXT(Manifest[[#This Row],[Seq]],"00")</f>
        <v>Ros_Sab_2_09</v>
      </c>
    </row>
    <row r="474" spans="1:7" x14ac:dyDescent="0.25">
      <c r="A474" t="s">
        <v>11</v>
      </c>
      <c r="B474" t="str">
        <f>Manifest[[#This Row],[newID]]</f>
        <v>Ros_Sab_2_10</v>
      </c>
      <c r="C474" t="s">
        <v>4</v>
      </c>
      <c r="D474" t="s">
        <v>65</v>
      </c>
      <c r="E474">
        <v>2</v>
      </c>
      <c r="F474">
        <f>IF(Manifest[[#This Row],[Segment]]=E473,F473+1,1)</f>
        <v>10</v>
      </c>
      <c r="G474" t="str">
        <f>"Ros_"&amp;Manifest[[#This Row],[Day]]&amp;"_"&amp;Manifest[[#This Row],[Segment]]&amp;"_"&amp;TEXT(Manifest[[#This Row],[Seq]],"00")</f>
        <v>Ros_Sab_2_10</v>
      </c>
    </row>
    <row r="475" spans="1:7" x14ac:dyDescent="0.25">
      <c r="A475" t="s">
        <v>11</v>
      </c>
      <c r="B475" t="str">
        <f>Manifest[[#This Row],[newID]]</f>
        <v>Ros_Sab_2_11</v>
      </c>
      <c r="C475" t="s">
        <v>4</v>
      </c>
      <c r="D475" t="s">
        <v>65</v>
      </c>
      <c r="E475">
        <v>2</v>
      </c>
      <c r="F475">
        <f>IF(Manifest[[#This Row],[Segment]]=E474,F474+1,1)</f>
        <v>11</v>
      </c>
      <c r="G475" t="str">
        <f>"Ros_"&amp;Manifest[[#This Row],[Day]]&amp;"_"&amp;Manifest[[#This Row],[Segment]]&amp;"_"&amp;TEXT(Manifest[[#This Row],[Seq]],"00")</f>
        <v>Ros_Sab_2_11</v>
      </c>
    </row>
    <row r="476" spans="1:7" x14ac:dyDescent="0.25">
      <c r="A476" t="s">
        <v>11</v>
      </c>
      <c r="B476" t="str">
        <f>Manifest[[#This Row],[newID]]</f>
        <v>Ros_Sab_2_12</v>
      </c>
      <c r="C476" t="s">
        <v>4</v>
      </c>
      <c r="D476" t="s">
        <v>65</v>
      </c>
      <c r="E476">
        <v>2</v>
      </c>
      <c r="F476">
        <f>IF(Manifest[[#This Row],[Segment]]=E475,F475+1,1)</f>
        <v>12</v>
      </c>
      <c r="G476" t="str">
        <f>"Ros_"&amp;Manifest[[#This Row],[Day]]&amp;"_"&amp;Manifest[[#This Row],[Segment]]&amp;"_"&amp;TEXT(Manifest[[#This Row],[Seq]],"00")</f>
        <v>Ros_Sab_2_12</v>
      </c>
    </row>
    <row r="477" spans="1:7" x14ac:dyDescent="0.25">
      <c r="A477" t="s">
        <v>12</v>
      </c>
      <c r="B477" t="str">
        <f>Manifest[[#This Row],[newID]]</f>
        <v>Ros_Sab_2_13</v>
      </c>
      <c r="C477" t="s">
        <v>4</v>
      </c>
      <c r="D477" t="s">
        <v>65</v>
      </c>
      <c r="E477">
        <v>2</v>
      </c>
      <c r="F477">
        <f>IF(Manifest[[#This Row],[Segment]]=E476,F476+1,1)</f>
        <v>13</v>
      </c>
      <c r="G477" t="str">
        <f>"Ros_"&amp;Manifest[[#This Row],[Day]]&amp;"_"&amp;Manifest[[#This Row],[Segment]]&amp;"_"&amp;TEXT(Manifest[[#This Row],[Seq]],"00")</f>
        <v>Ros_Sab_2_13</v>
      </c>
    </row>
    <row r="478" spans="1:7" x14ac:dyDescent="0.25">
      <c r="A478" t="s">
        <v>15</v>
      </c>
      <c r="B478" t="str">
        <f>Manifest[[#This Row],[newID]]</f>
        <v>Ros_Sab_2_14</v>
      </c>
      <c r="C478" t="s">
        <v>4</v>
      </c>
      <c r="D478" t="s">
        <v>65</v>
      </c>
      <c r="E478">
        <v>2</v>
      </c>
      <c r="F478">
        <f>IF(Manifest[[#This Row],[Segment]]=E477,F477+1,1)</f>
        <v>14</v>
      </c>
      <c r="G478" t="str">
        <f>"Ros_"&amp;Manifest[[#This Row],[Day]]&amp;"_"&amp;Manifest[[#This Row],[Segment]]&amp;"_"&amp;TEXT(Manifest[[#This Row],[Seq]],"00")</f>
        <v>Ros_Sab_2_14</v>
      </c>
    </row>
    <row r="479" spans="1:7" x14ac:dyDescent="0.25">
      <c r="A479" t="s">
        <v>17</v>
      </c>
      <c r="B479" t="str">
        <f>Manifest[[#This Row],[newID]]</f>
        <v>Ros_Sab_3_01</v>
      </c>
      <c r="C479" t="s">
        <v>4</v>
      </c>
      <c r="D479" t="s">
        <v>65</v>
      </c>
      <c r="E479">
        <v>3</v>
      </c>
      <c r="F479">
        <f>IF(Manifest[[#This Row],[Segment]]=E478,F478+1,1)</f>
        <v>1</v>
      </c>
      <c r="G479" t="str">
        <f>"Ros_"&amp;Manifest[[#This Row],[Day]]&amp;"_"&amp;Manifest[[#This Row],[Segment]]&amp;"_"&amp;TEXT(Manifest[[#This Row],[Seq]],"00")</f>
        <v>Ros_Sab_3_01</v>
      </c>
    </row>
    <row r="480" spans="1:7" x14ac:dyDescent="0.25">
      <c r="A480" t="s">
        <v>10</v>
      </c>
      <c r="B480" t="str">
        <f>Manifest[[#This Row],[newID]]</f>
        <v>Ros_Sab_3_02</v>
      </c>
      <c r="C480" t="s">
        <v>4</v>
      </c>
      <c r="D480" t="s">
        <v>65</v>
      </c>
      <c r="E480">
        <v>3</v>
      </c>
      <c r="F480">
        <f>IF(Manifest[[#This Row],[Segment]]=E479,F479+1,1)</f>
        <v>2</v>
      </c>
      <c r="G480" t="str">
        <f>"Ros_"&amp;Manifest[[#This Row],[Day]]&amp;"_"&amp;Manifest[[#This Row],[Segment]]&amp;"_"&amp;TEXT(Manifest[[#This Row],[Seq]],"00")</f>
        <v>Ros_Sab_3_02</v>
      </c>
    </row>
    <row r="481" spans="1:7" x14ac:dyDescent="0.25">
      <c r="A481" t="s">
        <v>11</v>
      </c>
      <c r="B481" t="str">
        <f>Manifest[[#This Row],[newID]]</f>
        <v>Ros_Sab_3_03</v>
      </c>
      <c r="C481" t="s">
        <v>4</v>
      </c>
      <c r="D481" t="s">
        <v>65</v>
      </c>
      <c r="E481">
        <v>3</v>
      </c>
      <c r="F481">
        <f>IF(Manifest[[#This Row],[Segment]]=E480,F480+1,1)</f>
        <v>3</v>
      </c>
      <c r="G481" t="str">
        <f>"Ros_"&amp;Manifest[[#This Row],[Day]]&amp;"_"&amp;Manifest[[#This Row],[Segment]]&amp;"_"&amp;TEXT(Manifest[[#This Row],[Seq]],"00")</f>
        <v>Ros_Sab_3_03</v>
      </c>
    </row>
    <row r="482" spans="1:7" x14ac:dyDescent="0.25">
      <c r="A482" t="s">
        <v>11</v>
      </c>
      <c r="B482" t="str">
        <f>Manifest[[#This Row],[newID]]</f>
        <v>Ros_Sab_3_04</v>
      </c>
      <c r="C482" t="s">
        <v>4</v>
      </c>
      <c r="D482" t="s">
        <v>65</v>
      </c>
      <c r="E482">
        <v>3</v>
      </c>
      <c r="F482">
        <f>IF(Manifest[[#This Row],[Segment]]=E481,F481+1,1)</f>
        <v>4</v>
      </c>
      <c r="G482" t="str">
        <f>"Ros_"&amp;Manifest[[#This Row],[Day]]&amp;"_"&amp;Manifest[[#This Row],[Segment]]&amp;"_"&amp;TEXT(Manifest[[#This Row],[Seq]],"00")</f>
        <v>Ros_Sab_3_04</v>
      </c>
    </row>
    <row r="483" spans="1:7" x14ac:dyDescent="0.25">
      <c r="A483" t="s">
        <v>11</v>
      </c>
      <c r="B483" t="str">
        <f>Manifest[[#This Row],[newID]]</f>
        <v>Ros_Sab_3_05</v>
      </c>
      <c r="C483" t="s">
        <v>4</v>
      </c>
      <c r="D483" t="s">
        <v>65</v>
      </c>
      <c r="E483">
        <v>3</v>
      </c>
      <c r="F483">
        <f>IF(Manifest[[#This Row],[Segment]]=E482,F482+1,1)</f>
        <v>5</v>
      </c>
      <c r="G483" t="str">
        <f>"Ros_"&amp;Manifest[[#This Row],[Day]]&amp;"_"&amp;Manifest[[#This Row],[Segment]]&amp;"_"&amp;TEXT(Manifest[[#This Row],[Seq]],"00")</f>
        <v>Ros_Sab_3_05</v>
      </c>
    </row>
    <row r="484" spans="1:7" x14ac:dyDescent="0.25">
      <c r="A484" t="s">
        <v>11</v>
      </c>
      <c r="B484" t="str">
        <f>Manifest[[#This Row],[newID]]</f>
        <v>Ros_Sab_3_06</v>
      </c>
      <c r="C484" t="s">
        <v>4</v>
      </c>
      <c r="D484" t="s">
        <v>65</v>
      </c>
      <c r="E484">
        <v>3</v>
      </c>
      <c r="F484">
        <f>IF(Manifest[[#This Row],[Segment]]=E483,F483+1,1)</f>
        <v>6</v>
      </c>
      <c r="G484" t="str">
        <f>"Ros_"&amp;Manifest[[#This Row],[Day]]&amp;"_"&amp;Manifest[[#This Row],[Segment]]&amp;"_"&amp;TEXT(Manifest[[#This Row],[Seq]],"00")</f>
        <v>Ros_Sab_3_06</v>
      </c>
    </row>
    <row r="485" spans="1:7" x14ac:dyDescent="0.25">
      <c r="A485" t="s">
        <v>11</v>
      </c>
      <c r="B485" t="str">
        <f>Manifest[[#This Row],[newID]]</f>
        <v>Ros_Sab_3_07</v>
      </c>
      <c r="C485" t="s">
        <v>4</v>
      </c>
      <c r="D485" t="s">
        <v>65</v>
      </c>
      <c r="E485">
        <v>3</v>
      </c>
      <c r="F485">
        <f>IF(Manifest[[#This Row],[Segment]]=E484,F484+1,1)</f>
        <v>7</v>
      </c>
      <c r="G485" t="str">
        <f>"Ros_"&amp;Manifest[[#This Row],[Day]]&amp;"_"&amp;Manifest[[#This Row],[Segment]]&amp;"_"&amp;TEXT(Manifest[[#This Row],[Seq]],"00")</f>
        <v>Ros_Sab_3_07</v>
      </c>
    </row>
    <row r="486" spans="1:7" x14ac:dyDescent="0.25">
      <c r="A486" t="s">
        <v>11</v>
      </c>
      <c r="B486" t="str">
        <f>Manifest[[#This Row],[newID]]</f>
        <v>Ros_Sab_3_08</v>
      </c>
      <c r="C486" t="s">
        <v>4</v>
      </c>
      <c r="D486" t="s">
        <v>65</v>
      </c>
      <c r="E486">
        <v>3</v>
      </c>
      <c r="F486">
        <f>IF(Manifest[[#This Row],[Segment]]=E485,F485+1,1)</f>
        <v>8</v>
      </c>
      <c r="G486" t="str">
        <f>"Ros_"&amp;Manifest[[#This Row],[Day]]&amp;"_"&amp;Manifest[[#This Row],[Segment]]&amp;"_"&amp;TEXT(Manifest[[#This Row],[Seq]],"00")</f>
        <v>Ros_Sab_3_08</v>
      </c>
    </row>
    <row r="487" spans="1:7" x14ac:dyDescent="0.25">
      <c r="A487" t="s">
        <v>11</v>
      </c>
      <c r="B487" t="str">
        <f>Manifest[[#This Row],[newID]]</f>
        <v>Ros_Sab_3_09</v>
      </c>
      <c r="C487" t="s">
        <v>4</v>
      </c>
      <c r="D487" t="s">
        <v>65</v>
      </c>
      <c r="E487">
        <v>3</v>
      </c>
      <c r="F487">
        <f>IF(Manifest[[#This Row],[Segment]]=E486,F486+1,1)</f>
        <v>9</v>
      </c>
      <c r="G487" t="str">
        <f>"Ros_"&amp;Manifest[[#This Row],[Day]]&amp;"_"&amp;Manifest[[#This Row],[Segment]]&amp;"_"&amp;TEXT(Manifest[[#This Row],[Seq]],"00")</f>
        <v>Ros_Sab_3_09</v>
      </c>
    </row>
    <row r="488" spans="1:7" x14ac:dyDescent="0.25">
      <c r="A488" t="s">
        <v>11</v>
      </c>
      <c r="B488" t="str">
        <f>Manifest[[#This Row],[newID]]</f>
        <v>Ros_Sab_3_10</v>
      </c>
      <c r="C488" t="s">
        <v>4</v>
      </c>
      <c r="D488" t="s">
        <v>65</v>
      </c>
      <c r="E488">
        <v>3</v>
      </c>
      <c r="F488">
        <f>IF(Manifest[[#This Row],[Segment]]=E487,F487+1,1)</f>
        <v>10</v>
      </c>
      <c r="G488" t="str">
        <f>"Ros_"&amp;Manifest[[#This Row],[Day]]&amp;"_"&amp;Manifest[[#This Row],[Segment]]&amp;"_"&amp;TEXT(Manifest[[#This Row],[Seq]],"00")</f>
        <v>Ros_Sab_3_10</v>
      </c>
    </row>
    <row r="489" spans="1:7" x14ac:dyDescent="0.25">
      <c r="A489" t="s">
        <v>11</v>
      </c>
      <c r="B489" t="str">
        <f>Manifest[[#This Row],[newID]]</f>
        <v>Ros_Sab_3_11</v>
      </c>
      <c r="C489" t="s">
        <v>4</v>
      </c>
      <c r="D489" t="s">
        <v>65</v>
      </c>
      <c r="E489">
        <v>3</v>
      </c>
      <c r="F489">
        <f>IF(Manifest[[#This Row],[Segment]]=E488,F488+1,1)</f>
        <v>11</v>
      </c>
      <c r="G489" t="str">
        <f>"Ros_"&amp;Manifest[[#This Row],[Day]]&amp;"_"&amp;Manifest[[#This Row],[Segment]]&amp;"_"&amp;TEXT(Manifest[[#This Row],[Seq]],"00")</f>
        <v>Ros_Sab_3_11</v>
      </c>
    </row>
    <row r="490" spans="1:7" x14ac:dyDescent="0.25">
      <c r="A490" t="s">
        <v>11</v>
      </c>
      <c r="B490" t="str">
        <f>Manifest[[#This Row],[newID]]</f>
        <v>Ros_Sab_3_12</v>
      </c>
      <c r="C490" t="s">
        <v>4</v>
      </c>
      <c r="D490" t="s">
        <v>65</v>
      </c>
      <c r="E490">
        <v>3</v>
      </c>
      <c r="F490">
        <f>IF(Manifest[[#This Row],[Segment]]=E489,F489+1,1)</f>
        <v>12</v>
      </c>
      <c r="G490" t="str">
        <f>"Ros_"&amp;Manifest[[#This Row],[Day]]&amp;"_"&amp;Manifest[[#This Row],[Segment]]&amp;"_"&amp;TEXT(Manifest[[#This Row],[Seq]],"00")</f>
        <v>Ros_Sab_3_12</v>
      </c>
    </row>
    <row r="491" spans="1:7" x14ac:dyDescent="0.25">
      <c r="A491" t="s">
        <v>12</v>
      </c>
      <c r="B491" t="str">
        <f>Manifest[[#This Row],[newID]]</f>
        <v>Ros_Sab_3_13</v>
      </c>
      <c r="C491" t="s">
        <v>4</v>
      </c>
      <c r="D491" t="s">
        <v>65</v>
      </c>
      <c r="E491">
        <v>3</v>
      </c>
      <c r="F491">
        <f>IF(Manifest[[#This Row],[Segment]]=E490,F490+1,1)</f>
        <v>13</v>
      </c>
      <c r="G491" t="str">
        <f>"Ros_"&amp;Manifest[[#This Row],[Day]]&amp;"_"&amp;Manifest[[#This Row],[Segment]]&amp;"_"&amp;TEXT(Manifest[[#This Row],[Seq]],"00")</f>
        <v>Ros_Sab_3_13</v>
      </c>
    </row>
    <row r="492" spans="1:7" x14ac:dyDescent="0.25">
      <c r="A492" t="s">
        <v>15</v>
      </c>
      <c r="B492" t="str">
        <f>Manifest[[#This Row],[newID]]</f>
        <v>Ros_Sab_4_01</v>
      </c>
      <c r="C492" t="s">
        <v>4</v>
      </c>
      <c r="D492" t="s">
        <v>65</v>
      </c>
      <c r="E492">
        <v>4</v>
      </c>
      <c r="F492">
        <f>IF(Manifest[[#This Row],[Segment]]=E491,F491+1,1)</f>
        <v>1</v>
      </c>
      <c r="G492" t="str">
        <f>"Ros_"&amp;Manifest[[#This Row],[Day]]&amp;"_"&amp;Manifest[[#This Row],[Segment]]&amp;"_"&amp;TEXT(Manifest[[#This Row],[Seq]],"00")</f>
        <v>Ros_Sab_4_01</v>
      </c>
    </row>
    <row r="493" spans="1:7" x14ac:dyDescent="0.25">
      <c r="A493" t="s">
        <v>18</v>
      </c>
      <c r="B493" t="str">
        <f>Manifest[[#This Row],[newID]]</f>
        <v>Ros_Sab_4_02</v>
      </c>
      <c r="C493" t="s">
        <v>4</v>
      </c>
      <c r="D493" t="s">
        <v>65</v>
      </c>
      <c r="E493">
        <v>4</v>
      </c>
      <c r="F493">
        <f>IF(Manifest[[#This Row],[Segment]]=E492,F492+1,1)</f>
        <v>2</v>
      </c>
      <c r="G493" t="str">
        <f>"Ros_"&amp;Manifest[[#This Row],[Day]]&amp;"_"&amp;Manifest[[#This Row],[Segment]]&amp;"_"&amp;TEXT(Manifest[[#This Row],[Seq]],"00")</f>
        <v>Ros_Sab_4_02</v>
      </c>
    </row>
    <row r="494" spans="1:7" x14ac:dyDescent="0.25">
      <c r="A494" t="s">
        <v>10</v>
      </c>
      <c r="B494" t="str">
        <f>Manifest[[#This Row],[newID]]</f>
        <v>Ros_Sab_4_03</v>
      </c>
      <c r="C494" t="s">
        <v>4</v>
      </c>
      <c r="D494" t="s">
        <v>65</v>
      </c>
      <c r="E494">
        <v>4</v>
      </c>
      <c r="F494">
        <f>IF(Manifest[[#This Row],[Segment]]=E493,F493+1,1)</f>
        <v>3</v>
      </c>
      <c r="G494" t="str">
        <f>"Ros_"&amp;Manifest[[#This Row],[Day]]&amp;"_"&amp;Manifest[[#This Row],[Segment]]&amp;"_"&amp;TEXT(Manifest[[#This Row],[Seq]],"00")</f>
        <v>Ros_Sab_4_03</v>
      </c>
    </row>
    <row r="495" spans="1:7" x14ac:dyDescent="0.25">
      <c r="A495" t="s">
        <v>11</v>
      </c>
      <c r="B495" t="str">
        <f>Manifest[[#This Row],[newID]]</f>
        <v>Ros_Sab_4_04</v>
      </c>
      <c r="C495" t="s">
        <v>4</v>
      </c>
      <c r="D495" t="s">
        <v>65</v>
      </c>
      <c r="E495">
        <v>4</v>
      </c>
      <c r="F495">
        <f>IF(Manifest[[#This Row],[Segment]]=E494,F494+1,1)</f>
        <v>4</v>
      </c>
      <c r="G495" t="str">
        <f>"Ros_"&amp;Manifest[[#This Row],[Day]]&amp;"_"&amp;Manifest[[#This Row],[Segment]]&amp;"_"&amp;TEXT(Manifest[[#This Row],[Seq]],"00")</f>
        <v>Ros_Sab_4_04</v>
      </c>
    </row>
    <row r="496" spans="1:7" x14ac:dyDescent="0.25">
      <c r="A496" t="s">
        <v>11</v>
      </c>
      <c r="B496" t="str">
        <f>Manifest[[#This Row],[newID]]</f>
        <v>Ros_Sab_4_05</v>
      </c>
      <c r="C496" t="s">
        <v>4</v>
      </c>
      <c r="D496" t="s">
        <v>65</v>
      </c>
      <c r="E496">
        <v>4</v>
      </c>
      <c r="F496">
        <f>IF(Manifest[[#This Row],[Segment]]=E495,F495+1,1)</f>
        <v>5</v>
      </c>
      <c r="G496" t="str">
        <f>"Ros_"&amp;Manifest[[#This Row],[Day]]&amp;"_"&amp;Manifest[[#This Row],[Segment]]&amp;"_"&amp;TEXT(Manifest[[#This Row],[Seq]],"00")</f>
        <v>Ros_Sab_4_05</v>
      </c>
    </row>
    <row r="497" spans="1:7" x14ac:dyDescent="0.25">
      <c r="A497" t="s">
        <v>11</v>
      </c>
      <c r="B497" t="str">
        <f>Manifest[[#This Row],[newID]]</f>
        <v>Ros_Sab_4_06</v>
      </c>
      <c r="C497" t="s">
        <v>4</v>
      </c>
      <c r="D497" t="s">
        <v>65</v>
      </c>
      <c r="E497">
        <v>4</v>
      </c>
      <c r="F497">
        <f>IF(Manifest[[#This Row],[Segment]]=E496,F496+1,1)</f>
        <v>6</v>
      </c>
      <c r="G497" t="str">
        <f>"Ros_"&amp;Manifest[[#This Row],[Day]]&amp;"_"&amp;Manifest[[#This Row],[Segment]]&amp;"_"&amp;TEXT(Manifest[[#This Row],[Seq]],"00")</f>
        <v>Ros_Sab_4_06</v>
      </c>
    </row>
    <row r="498" spans="1:7" x14ac:dyDescent="0.25">
      <c r="A498" t="s">
        <v>11</v>
      </c>
      <c r="B498" t="str">
        <f>Manifest[[#This Row],[newID]]</f>
        <v>Ros_Sab_4_07</v>
      </c>
      <c r="C498" t="s">
        <v>4</v>
      </c>
      <c r="D498" t="s">
        <v>65</v>
      </c>
      <c r="E498">
        <v>4</v>
      </c>
      <c r="F498">
        <f>IF(Manifest[[#This Row],[Segment]]=E497,F497+1,1)</f>
        <v>7</v>
      </c>
      <c r="G498" t="str">
        <f>"Ros_"&amp;Manifest[[#This Row],[Day]]&amp;"_"&amp;Manifest[[#This Row],[Segment]]&amp;"_"&amp;TEXT(Manifest[[#This Row],[Seq]],"00")</f>
        <v>Ros_Sab_4_07</v>
      </c>
    </row>
    <row r="499" spans="1:7" x14ac:dyDescent="0.25">
      <c r="A499" t="s">
        <v>11</v>
      </c>
      <c r="B499" t="str">
        <f>Manifest[[#This Row],[newID]]</f>
        <v>Ros_Sab_4_08</v>
      </c>
      <c r="C499" t="s">
        <v>4</v>
      </c>
      <c r="D499" t="s">
        <v>65</v>
      </c>
      <c r="E499">
        <v>4</v>
      </c>
      <c r="F499">
        <f>IF(Manifest[[#This Row],[Segment]]=E498,F498+1,1)</f>
        <v>8</v>
      </c>
      <c r="G499" t="str">
        <f>"Ros_"&amp;Manifest[[#This Row],[Day]]&amp;"_"&amp;Manifest[[#This Row],[Segment]]&amp;"_"&amp;TEXT(Manifest[[#This Row],[Seq]],"00")</f>
        <v>Ros_Sab_4_08</v>
      </c>
    </row>
    <row r="500" spans="1:7" x14ac:dyDescent="0.25">
      <c r="A500" t="s">
        <v>11</v>
      </c>
      <c r="B500" t="str">
        <f>Manifest[[#This Row],[newID]]</f>
        <v>Ros_Sab_4_09</v>
      </c>
      <c r="C500" t="s">
        <v>4</v>
      </c>
      <c r="D500" t="s">
        <v>65</v>
      </c>
      <c r="E500">
        <v>4</v>
      </c>
      <c r="F500">
        <f>IF(Manifest[[#This Row],[Segment]]=E499,F499+1,1)</f>
        <v>9</v>
      </c>
      <c r="G500" t="str">
        <f>"Ros_"&amp;Manifest[[#This Row],[Day]]&amp;"_"&amp;Manifest[[#This Row],[Segment]]&amp;"_"&amp;TEXT(Manifest[[#This Row],[Seq]],"00")</f>
        <v>Ros_Sab_4_09</v>
      </c>
    </row>
    <row r="501" spans="1:7" x14ac:dyDescent="0.25">
      <c r="A501" t="s">
        <v>11</v>
      </c>
      <c r="B501" t="str">
        <f>Manifest[[#This Row],[newID]]</f>
        <v>Ros_Sab_4_10</v>
      </c>
      <c r="C501" t="s">
        <v>4</v>
      </c>
      <c r="D501" t="s">
        <v>65</v>
      </c>
      <c r="E501">
        <v>4</v>
      </c>
      <c r="F501">
        <f>IF(Manifest[[#This Row],[Segment]]=E500,F500+1,1)</f>
        <v>10</v>
      </c>
      <c r="G501" t="str">
        <f>"Ros_"&amp;Manifest[[#This Row],[Day]]&amp;"_"&amp;Manifest[[#This Row],[Segment]]&amp;"_"&amp;TEXT(Manifest[[#This Row],[Seq]],"00")</f>
        <v>Ros_Sab_4_10</v>
      </c>
    </row>
    <row r="502" spans="1:7" x14ac:dyDescent="0.25">
      <c r="A502" t="s">
        <v>11</v>
      </c>
      <c r="B502" t="str">
        <f>Manifest[[#This Row],[newID]]</f>
        <v>Ros_Sab_4_11</v>
      </c>
      <c r="C502" t="s">
        <v>4</v>
      </c>
      <c r="D502" t="s">
        <v>65</v>
      </c>
      <c r="E502">
        <v>4</v>
      </c>
      <c r="F502">
        <f>IF(Manifest[[#This Row],[Segment]]=E501,F501+1,1)</f>
        <v>11</v>
      </c>
      <c r="G502" t="str">
        <f>"Ros_"&amp;Manifest[[#This Row],[Day]]&amp;"_"&amp;Manifest[[#This Row],[Segment]]&amp;"_"&amp;TEXT(Manifest[[#This Row],[Seq]],"00")</f>
        <v>Ros_Sab_4_11</v>
      </c>
    </row>
    <row r="503" spans="1:7" x14ac:dyDescent="0.25">
      <c r="A503" t="s">
        <v>11</v>
      </c>
      <c r="B503" t="str">
        <f>Manifest[[#This Row],[newID]]</f>
        <v>Ros_Sab_4_12</v>
      </c>
      <c r="C503" t="s">
        <v>4</v>
      </c>
      <c r="D503" t="s">
        <v>65</v>
      </c>
      <c r="E503">
        <v>4</v>
      </c>
      <c r="F503">
        <f>IF(Manifest[[#This Row],[Segment]]=E502,F502+1,1)</f>
        <v>12</v>
      </c>
      <c r="G503" t="str">
        <f>"Ros_"&amp;Manifest[[#This Row],[Day]]&amp;"_"&amp;Manifest[[#This Row],[Segment]]&amp;"_"&amp;TEXT(Manifest[[#This Row],[Seq]],"00")</f>
        <v>Ros_Sab_4_12</v>
      </c>
    </row>
    <row r="504" spans="1:7" x14ac:dyDescent="0.25">
      <c r="A504" t="s">
        <v>11</v>
      </c>
      <c r="B504" t="str">
        <f>Manifest[[#This Row],[newID]]</f>
        <v>Ros_Sab_4_13</v>
      </c>
      <c r="C504" t="s">
        <v>4</v>
      </c>
      <c r="D504" t="s">
        <v>65</v>
      </c>
      <c r="E504">
        <v>4</v>
      </c>
      <c r="F504">
        <f>IF(Manifest[[#This Row],[Segment]]=E503,F503+1,1)</f>
        <v>13</v>
      </c>
      <c r="G504" t="str">
        <f>"Ros_"&amp;Manifest[[#This Row],[Day]]&amp;"_"&amp;Manifest[[#This Row],[Segment]]&amp;"_"&amp;TEXT(Manifest[[#This Row],[Seq]],"00")</f>
        <v>Ros_Sab_4_13</v>
      </c>
    </row>
    <row r="505" spans="1:7" x14ac:dyDescent="0.25">
      <c r="A505" t="s">
        <v>12</v>
      </c>
      <c r="B505" t="str">
        <f>Manifest[[#This Row],[newID]]</f>
        <v>Ros_Sab_4_14</v>
      </c>
      <c r="C505" t="s">
        <v>4</v>
      </c>
      <c r="D505" t="s">
        <v>65</v>
      </c>
      <c r="E505">
        <v>4</v>
      </c>
      <c r="F505">
        <f>IF(Manifest[[#This Row],[Segment]]=E504,F504+1,1)</f>
        <v>14</v>
      </c>
      <c r="G505" t="str">
        <f>"Ros_"&amp;Manifest[[#This Row],[Day]]&amp;"_"&amp;Manifest[[#This Row],[Segment]]&amp;"_"&amp;TEXT(Manifest[[#This Row],[Seq]],"00")</f>
        <v>Ros_Sab_4_14</v>
      </c>
    </row>
    <row r="506" spans="1:7" x14ac:dyDescent="0.25">
      <c r="A506" t="s">
        <v>15</v>
      </c>
      <c r="B506" t="str">
        <f>Manifest[[#This Row],[newID]]</f>
        <v>Ros_Sab_4_15</v>
      </c>
      <c r="C506" t="s">
        <v>4</v>
      </c>
      <c r="D506" t="s">
        <v>65</v>
      </c>
      <c r="E506">
        <v>4</v>
      </c>
      <c r="F506">
        <f>IF(Manifest[[#This Row],[Segment]]=E505,F505+1,1)</f>
        <v>15</v>
      </c>
      <c r="G506" t="str">
        <f>"Ros_"&amp;Manifest[[#This Row],[Day]]&amp;"_"&amp;Manifest[[#This Row],[Segment]]&amp;"_"&amp;TEXT(Manifest[[#This Row],[Seq]],"00")</f>
        <v>Ros_Sab_4_15</v>
      </c>
    </row>
    <row r="507" spans="1:7" x14ac:dyDescent="0.25">
      <c r="A507" t="s">
        <v>19</v>
      </c>
      <c r="B507" t="str">
        <f>Manifest[[#This Row],[newID]]</f>
        <v>Ros_Sab_5_01</v>
      </c>
      <c r="C507" t="s">
        <v>4</v>
      </c>
      <c r="D507" t="s">
        <v>65</v>
      </c>
      <c r="E507">
        <v>5</v>
      </c>
      <c r="F507">
        <f>IF(Manifest[[#This Row],[Segment]]=E506,F506+1,1)</f>
        <v>1</v>
      </c>
      <c r="G507" t="str">
        <f>"Ros_"&amp;Manifest[[#This Row],[Day]]&amp;"_"&amp;Manifest[[#This Row],[Segment]]&amp;"_"&amp;TEXT(Manifest[[#This Row],[Seq]],"00")</f>
        <v>Ros_Sab_5_01</v>
      </c>
    </row>
    <row r="508" spans="1:7" x14ac:dyDescent="0.25">
      <c r="A508" t="s">
        <v>10</v>
      </c>
      <c r="B508" t="str">
        <f>Manifest[[#This Row],[newID]]</f>
        <v>Ros_Sab_5_02</v>
      </c>
      <c r="C508" t="s">
        <v>4</v>
      </c>
      <c r="D508" t="s">
        <v>65</v>
      </c>
      <c r="E508">
        <v>5</v>
      </c>
      <c r="F508">
        <f>IF(Manifest[[#This Row],[Segment]]=E507,F507+1,1)</f>
        <v>2</v>
      </c>
      <c r="G508" t="str">
        <f>"Ros_"&amp;Manifest[[#This Row],[Day]]&amp;"_"&amp;Manifest[[#This Row],[Segment]]&amp;"_"&amp;TEXT(Manifest[[#This Row],[Seq]],"00")</f>
        <v>Ros_Sab_5_02</v>
      </c>
    </row>
    <row r="509" spans="1:7" x14ac:dyDescent="0.25">
      <c r="A509" t="s">
        <v>11</v>
      </c>
      <c r="B509" t="str">
        <f>Manifest[[#This Row],[newID]]</f>
        <v>Ros_Sab_5_03</v>
      </c>
      <c r="C509" t="s">
        <v>4</v>
      </c>
      <c r="D509" t="s">
        <v>65</v>
      </c>
      <c r="E509">
        <v>5</v>
      </c>
      <c r="F509">
        <f>IF(Manifest[[#This Row],[Segment]]=E508,F508+1,1)</f>
        <v>3</v>
      </c>
      <c r="G509" t="str">
        <f>"Ros_"&amp;Manifest[[#This Row],[Day]]&amp;"_"&amp;Manifest[[#This Row],[Segment]]&amp;"_"&amp;TEXT(Manifest[[#This Row],[Seq]],"00")</f>
        <v>Ros_Sab_5_03</v>
      </c>
    </row>
    <row r="510" spans="1:7" x14ac:dyDescent="0.25">
      <c r="A510" t="s">
        <v>11</v>
      </c>
      <c r="B510" t="str">
        <f>Manifest[[#This Row],[newID]]</f>
        <v>Ros_Sab_5_04</v>
      </c>
      <c r="C510" t="s">
        <v>4</v>
      </c>
      <c r="D510" t="s">
        <v>65</v>
      </c>
      <c r="E510">
        <v>5</v>
      </c>
      <c r="F510">
        <f>IF(Manifest[[#This Row],[Segment]]=E509,F509+1,1)</f>
        <v>4</v>
      </c>
      <c r="G510" t="str">
        <f>"Ros_"&amp;Manifest[[#This Row],[Day]]&amp;"_"&amp;Manifest[[#This Row],[Segment]]&amp;"_"&amp;TEXT(Manifest[[#This Row],[Seq]],"00")</f>
        <v>Ros_Sab_5_04</v>
      </c>
    </row>
    <row r="511" spans="1:7" x14ac:dyDescent="0.25">
      <c r="A511" t="s">
        <v>11</v>
      </c>
      <c r="B511" t="str">
        <f>Manifest[[#This Row],[newID]]</f>
        <v>Ros_Sab_5_05</v>
      </c>
      <c r="C511" t="s">
        <v>4</v>
      </c>
      <c r="D511" t="s">
        <v>65</v>
      </c>
      <c r="E511">
        <v>5</v>
      </c>
      <c r="F511">
        <f>IF(Manifest[[#This Row],[Segment]]=E510,F510+1,1)</f>
        <v>5</v>
      </c>
      <c r="G511" t="str">
        <f>"Ros_"&amp;Manifest[[#This Row],[Day]]&amp;"_"&amp;Manifest[[#This Row],[Segment]]&amp;"_"&amp;TEXT(Manifest[[#This Row],[Seq]],"00")</f>
        <v>Ros_Sab_5_05</v>
      </c>
    </row>
    <row r="512" spans="1:7" x14ac:dyDescent="0.25">
      <c r="A512" t="s">
        <v>11</v>
      </c>
      <c r="B512" t="str">
        <f>Manifest[[#This Row],[newID]]</f>
        <v>Ros_Sab_5_06</v>
      </c>
      <c r="C512" t="s">
        <v>4</v>
      </c>
      <c r="D512" t="s">
        <v>65</v>
      </c>
      <c r="E512">
        <v>5</v>
      </c>
      <c r="F512">
        <f>IF(Manifest[[#This Row],[Segment]]=E511,F511+1,1)</f>
        <v>6</v>
      </c>
      <c r="G512" t="str">
        <f>"Ros_"&amp;Manifest[[#This Row],[Day]]&amp;"_"&amp;Manifest[[#This Row],[Segment]]&amp;"_"&amp;TEXT(Manifest[[#This Row],[Seq]],"00")</f>
        <v>Ros_Sab_5_06</v>
      </c>
    </row>
    <row r="513" spans="1:7" x14ac:dyDescent="0.25">
      <c r="A513" t="s">
        <v>11</v>
      </c>
      <c r="B513" t="str">
        <f>Manifest[[#This Row],[newID]]</f>
        <v>Ros_Sab_5_07</v>
      </c>
      <c r="C513" t="s">
        <v>4</v>
      </c>
      <c r="D513" t="s">
        <v>65</v>
      </c>
      <c r="E513">
        <v>5</v>
      </c>
      <c r="F513">
        <f>IF(Manifest[[#This Row],[Segment]]=E512,F512+1,1)</f>
        <v>7</v>
      </c>
      <c r="G513" t="str">
        <f>"Ros_"&amp;Manifest[[#This Row],[Day]]&amp;"_"&amp;Manifest[[#This Row],[Segment]]&amp;"_"&amp;TEXT(Manifest[[#This Row],[Seq]],"00")</f>
        <v>Ros_Sab_5_07</v>
      </c>
    </row>
    <row r="514" spans="1:7" x14ac:dyDescent="0.25">
      <c r="A514" t="s">
        <v>11</v>
      </c>
      <c r="B514" t="str">
        <f>Manifest[[#This Row],[newID]]</f>
        <v>Ros_Sab_5_08</v>
      </c>
      <c r="C514" t="s">
        <v>4</v>
      </c>
      <c r="D514" t="s">
        <v>65</v>
      </c>
      <c r="E514">
        <v>5</v>
      </c>
      <c r="F514">
        <f>IF(Manifest[[#This Row],[Segment]]=E513,F513+1,1)</f>
        <v>8</v>
      </c>
      <c r="G514" t="str">
        <f>"Ros_"&amp;Manifest[[#This Row],[Day]]&amp;"_"&amp;Manifest[[#This Row],[Segment]]&amp;"_"&amp;TEXT(Manifest[[#This Row],[Seq]],"00")</f>
        <v>Ros_Sab_5_08</v>
      </c>
    </row>
    <row r="515" spans="1:7" x14ac:dyDescent="0.25">
      <c r="A515" t="s">
        <v>11</v>
      </c>
      <c r="B515" t="str">
        <f>Manifest[[#This Row],[newID]]</f>
        <v>Ros_Sab_5_09</v>
      </c>
      <c r="C515" t="s">
        <v>4</v>
      </c>
      <c r="D515" t="s">
        <v>65</v>
      </c>
      <c r="E515">
        <v>5</v>
      </c>
      <c r="F515">
        <f>IF(Manifest[[#This Row],[Segment]]=E514,F514+1,1)</f>
        <v>9</v>
      </c>
      <c r="G515" t="str">
        <f>"Ros_"&amp;Manifest[[#This Row],[Day]]&amp;"_"&amp;Manifest[[#This Row],[Segment]]&amp;"_"&amp;TEXT(Manifest[[#This Row],[Seq]],"00")</f>
        <v>Ros_Sab_5_09</v>
      </c>
    </row>
    <row r="516" spans="1:7" x14ac:dyDescent="0.25">
      <c r="A516" t="s">
        <v>11</v>
      </c>
      <c r="B516" t="str">
        <f>Manifest[[#This Row],[newID]]</f>
        <v>Ros_Sab_5_10</v>
      </c>
      <c r="C516" t="s">
        <v>4</v>
      </c>
      <c r="D516" t="s">
        <v>65</v>
      </c>
      <c r="E516">
        <v>5</v>
      </c>
      <c r="F516">
        <f>IF(Manifest[[#This Row],[Segment]]=E515,F515+1,1)</f>
        <v>10</v>
      </c>
      <c r="G516" t="str">
        <f>"Ros_"&amp;Manifest[[#This Row],[Day]]&amp;"_"&amp;Manifest[[#This Row],[Segment]]&amp;"_"&amp;TEXT(Manifest[[#This Row],[Seq]],"00")</f>
        <v>Ros_Sab_5_10</v>
      </c>
    </row>
    <row r="517" spans="1:7" x14ac:dyDescent="0.25">
      <c r="A517" t="s">
        <v>11</v>
      </c>
      <c r="B517" t="str">
        <f>Manifest[[#This Row],[newID]]</f>
        <v>Ros_Sab_5_11</v>
      </c>
      <c r="C517" t="s">
        <v>4</v>
      </c>
      <c r="D517" t="s">
        <v>65</v>
      </c>
      <c r="E517">
        <v>5</v>
      </c>
      <c r="F517">
        <f>IF(Manifest[[#This Row],[Segment]]=E516,F516+1,1)</f>
        <v>11</v>
      </c>
      <c r="G517" t="str">
        <f>"Ros_"&amp;Manifest[[#This Row],[Day]]&amp;"_"&amp;Manifest[[#This Row],[Segment]]&amp;"_"&amp;TEXT(Manifest[[#This Row],[Seq]],"00")</f>
        <v>Ros_Sab_5_11</v>
      </c>
    </row>
    <row r="518" spans="1:7" x14ac:dyDescent="0.25">
      <c r="A518" t="s">
        <v>11</v>
      </c>
      <c r="B518" t="str">
        <f>Manifest[[#This Row],[newID]]</f>
        <v>Ros_Sab_5_12</v>
      </c>
      <c r="C518" t="s">
        <v>4</v>
      </c>
      <c r="D518" t="s">
        <v>65</v>
      </c>
      <c r="E518">
        <v>5</v>
      </c>
      <c r="F518">
        <f>IF(Manifest[[#This Row],[Segment]]=E517,F517+1,1)</f>
        <v>12</v>
      </c>
      <c r="G518" t="str">
        <f>"Ros_"&amp;Manifest[[#This Row],[Day]]&amp;"_"&amp;Manifest[[#This Row],[Segment]]&amp;"_"&amp;TEXT(Manifest[[#This Row],[Seq]],"00")</f>
        <v>Ros_Sab_5_12</v>
      </c>
    </row>
    <row r="519" spans="1:7" x14ac:dyDescent="0.25">
      <c r="A519" t="s">
        <v>12</v>
      </c>
      <c r="B519" t="str">
        <f>Manifest[[#This Row],[newID]]</f>
        <v>Ros_Sab_5_13</v>
      </c>
      <c r="C519" t="s">
        <v>4</v>
      </c>
      <c r="D519" t="s">
        <v>65</v>
      </c>
      <c r="E519">
        <v>5</v>
      </c>
      <c r="F519">
        <f>IF(Manifest[[#This Row],[Segment]]=E518,F518+1,1)</f>
        <v>13</v>
      </c>
      <c r="G519" t="str">
        <f>"Ros_"&amp;Manifest[[#This Row],[Day]]&amp;"_"&amp;Manifest[[#This Row],[Segment]]&amp;"_"&amp;TEXT(Manifest[[#This Row],[Seq]],"00")</f>
        <v>Ros_Sab_5_13</v>
      </c>
    </row>
    <row r="520" spans="1:7" x14ac:dyDescent="0.25">
      <c r="A520" t="s">
        <v>15</v>
      </c>
      <c r="B520" t="str">
        <f>Manifest[[#This Row],[newID]]</f>
        <v>Ros_Sab_5_14</v>
      </c>
      <c r="C520" t="s">
        <v>4</v>
      </c>
      <c r="D520" t="s">
        <v>65</v>
      </c>
      <c r="E520">
        <v>5</v>
      </c>
      <c r="F520">
        <f>IF(Manifest[[#This Row],[Segment]]=E519,F519+1,1)</f>
        <v>14</v>
      </c>
      <c r="G520" t="str">
        <f>"Ros_"&amp;Manifest[[#This Row],[Day]]&amp;"_"&amp;Manifest[[#This Row],[Segment]]&amp;"_"&amp;TEXT(Manifest[[#This Row],[Seq]],"00")</f>
        <v>Ros_Sab_5_14</v>
      </c>
    </row>
    <row r="521" spans="1:7" x14ac:dyDescent="0.25">
      <c r="A521" t="s">
        <v>20</v>
      </c>
      <c r="B521" t="str">
        <f>Manifest[[#This Row],[newID]]</f>
        <v>Ros_Sab_6_01</v>
      </c>
      <c r="C521" t="s">
        <v>4</v>
      </c>
      <c r="D521" t="s">
        <v>65</v>
      </c>
      <c r="E521">
        <v>6</v>
      </c>
      <c r="F521">
        <f>IF(Manifest[[#This Row],[Segment]]=E520,F520+1,1)</f>
        <v>1</v>
      </c>
      <c r="G521" t="str">
        <f>"Ros_"&amp;Manifest[[#This Row],[Day]]&amp;"_"&amp;Manifest[[#This Row],[Segment]]&amp;"_"&amp;TEXT(Manifest[[#This Row],[Seq]],"00")</f>
        <v>Ros_Sab_6_01</v>
      </c>
    </row>
    <row r="522" spans="1:7" x14ac:dyDescent="0.25">
      <c r="A522" t="s">
        <v>21</v>
      </c>
      <c r="B522" t="str">
        <f>Manifest[[#This Row],[newID]]</f>
        <v>Ros_Sab_6_02</v>
      </c>
      <c r="C522" t="s">
        <v>4</v>
      </c>
      <c r="D522" t="s">
        <v>65</v>
      </c>
      <c r="E522">
        <v>6</v>
      </c>
      <c r="F522">
        <f>IF(Manifest[[#This Row],[Segment]]=E521,F521+1,1)</f>
        <v>2</v>
      </c>
      <c r="G522" t="str">
        <f>"Ros_"&amp;Manifest[[#This Row],[Day]]&amp;"_"&amp;Manifest[[#This Row],[Segment]]&amp;"_"&amp;TEXT(Manifest[[#This Row],[Seq]],"00")</f>
        <v>Ros_Sab_6_02</v>
      </c>
    </row>
    <row r="523" spans="1:7" x14ac:dyDescent="0.25">
      <c r="A523" t="s">
        <v>22</v>
      </c>
      <c r="B523" t="str">
        <f>Manifest[[#This Row],[newID]]</f>
        <v>Ros_Sab_6_03</v>
      </c>
      <c r="C523" t="s">
        <v>4</v>
      </c>
      <c r="D523" t="s">
        <v>65</v>
      </c>
      <c r="E523">
        <v>6</v>
      </c>
      <c r="F523">
        <f>IF(Manifest[[#This Row],[Segment]]=E522,F522+1,1)</f>
        <v>3</v>
      </c>
      <c r="G523" t="str">
        <f>"Ros_"&amp;Manifest[[#This Row],[Day]]&amp;"_"&amp;Manifest[[#This Row],[Segment]]&amp;"_"&amp;TEXT(Manifest[[#This Row],[Seq]],"00")</f>
        <v>Ros_Sab_6_03</v>
      </c>
    </row>
    <row r="524" spans="1:7" x14ac:dyDescent="0.25">
      <c r="A524" t="s">
        <v>23</v>
      </c>
      <c r="B524" t="str">
        <f>Manifest[[#This Row],[newID]]</f>
        <v>Ros_Sab_6_04</v>
      </c>
      <c r="C524" t="s">
        <v>4</v>
      </c>
      <c r="D524" t="s">
        <v>65</v>
      </c>
      <c r="E524">
        <v>6</v>
      </c>
      <c r="F524">
        <f>IF(Manifest[[#This Row],[Segment]]=E523,F523+1,1)</f>
        <v>4</v>
      </c>
      <c r="G524" t="str">
        <f>"Ros_"&amp;Manifest[[#This Row],[Day]]&amp;"_"&amp;Manifest[[#This Row],[Segment]]&amp;"_"&amp;TEXT(Manifest[[#This Row],[Seq]],"00")</f>
        <v>Ros_Sab_6_04</v>
      </c>
    </row>
    <row r="525" spans="1:7" x14ac:dyDescent="0.25">
      <c r="A525" t="s">
        <v>24</v>
      </c>
      <c r="B525" t="str">
        <f>Manifest[[#This Row],[newID]]</f>
        <v>Ros_Sab_6_05</v>
      </c>
      <c r="C525" t="s">
        <v>4</v>
      </c>
      <c r="D525" t="s">
        <v>65</v>
      </c>
      <c r="E525">
        <v>6</v>
      </c>
      <c r="F525">
        <f>IF(Manifest[[#This Row],[Segment]]=E524,F524+1,1)</f>
        <v>5</v>
      </c>
      <c r="G525" t="str">
        <f>"Ros_"&amp;Manifest[[#This Row],[Day]]&amp;"_"&amp;Manifest[[#This Row],[Segment]]&amp;"_"&amp;TEXT(Manifest[[#This Row],[Seq]],"00")</f>
        <v>Ros_Sab_6_05</v>
      </c>
    </row>
    <row r="526" spans="1:7" x14ac:dyDescent="0.25">
      <c r="A526" t="s">
        <v>25</v>
      </c>
      <c r="B526" t="str">
        <f>Manifest[[#This Row],[newID]]</f>
        <v>Ros_Sab_6_06</v>
      </c>
      <c r="C526" t="s">
        <v>4</v>
      </c>
      <c r="D526" t="s">
        <v>65</v>
      </c>
      <c r="E526">
        <v>6</v>
      </c>
      <c r="F526">
        <f>IF(Manifest[[#This Row],[Segment]]=E525,F525+1,1)</f>
        <v>6</v>
      </c>
      <c r="G526" t="str">
        <f>"Ros_"&amp;Manifest[[#This Row],[Day]]&amp;"_"&amp;Manifest[[#This Row],[Segment]]&amp;"_"&amp;TEXT(Manifest[[#This Row],[Seq]],"00")</f>
        <v>Ros_Sab_6_06</v>
      </c>
    </row>
    <row r="527" spans="1:7" x14ac:dyDescent="0.25">
      <c r="A527" t="s">
        <v>26</v>
      </c>
      <c r="B527" t="str">
        <f>Manifest[[#This Row],[newID]]</f>
        <v>Ros_Sab_6_07</v>
      </c>
      <c r="C527" t="s">
        <v>4</v>
      </c>
      <c r="D527" t="s">
        <v>65</v>
      </c>
      <c r="E527">
        <v>6</v>
      </c>
      <c r="F527">
        <f>IF(Manifest[[#This Row],[Segment]]=E526,F526+1,1)</f>
        <v>7</v>
      </c>
      <c r="G527" t="str">
        <f>"Ros_"&amp;Manifest[[#This Row],[Day]]&amp;"_"&amp;Manifest[[#This Row],[Segment]]&amp;"_"&amp;TEXT(Manifest[[#This Row],[Seq]],"00")</f>
        <v>Ros_Sab_6_07</v>
      </c>
    </row>
    <row r="528" spans="1:7" x14ac:dyDescent="0.25">
      <c r="A528" t="s">
        <v>27</v>
      </c>
      <c r="B528" t="str">
        <f>Manifest[[#This Row],[newID]]</f>
        <v>Ros_Sab_6_08</v>
      </c>
      <c r="C528" t="s">
        <v>4</v>
      </c>
      <c r="D528" t="s">
        <v>65</v>
      </c>
      <c r="E528">
        <v>6</v>
      </c>
      <c r="F528">
        <f>IF(Manifest[[#This Row],[Segment]]=E527,F527+1,1)</f>
        <v>8</v>
      </c>
      <c r="G528" t="str">
        <f>"Ros_"&amp;Manifest[[#This Row],[Day]]&amp;"_"&amp;Manifest[[#This Row],[Segment]]&amp;"_"&amp;TEXT(Manifest[[#This Row],[Seq]],"00")</f>
        <v>Ros_Sab_6_08</v>
      </c>
    </row>
    <row r="529" spans="1:7" x14ac:dyDescent="0.25">
      <c r="A529" t="s">
        <v>28</v>
      </c>
      <c r="B529" t="str">
        <f>Manifest[[#This Row],[newID]]</f>
        <v>Ros_Sab_6_09</v>
      </c>
      <c r="C529" t="s">
        <v>4</v>
      </c>
      <c r="D529" t="s">
        <v>65</v>
      </c>
      <c r="E529">
        <v>6</v>
      </c>
      <c r="F529">
        <f>IF(Manifest[[#This Row],[Segment]]=E528,F528+1,1)</f>
        <v>9</v>
      </c>
      <c r="G529" t="str">
        <f>"Ros_"&amp;Manifest[[#This Row],[Day]]&amp;"_"&amp;Manifest[[#This Row],[Segment]]&amp;"_"&amp;TEXT(Manifest[[#This Row],[Seq]],"00")</f>
        <v>Ros_Sab_6_09</v>
      </c>
    </row>
    <row r="530" spans="1:7" x14ac:dyDescent="0.25">
      <c r="A530" t="s">
        <v>29</v>
      </c>
      <c r="B530" t="str">
        <f>Manifest[[#This Row],[newID]]</f>
        <v>Ros_Sab_6_10</v>
      </c>
      <c r="C530" t="s">
        <v>4</v>
      </c>
      <c r="D530" t="s">
        <v>65</v>
      </c>
      <c r="E530">
        <v>6</v>
      </c>
      <c r="F530">
        <f>IF(Manifest[[#This Row],[Segment]]=E529,F529+1,1)</f>
        <v>10</v>
      </c>
      <c r="G530" t="str">
        <f>"Ros_"&amp;Manifest[[#This Row],[Day]]&amp;"_"&amp;Manifest[[#This Row],[Segment]]&amp;"_"&amp;TEXT(Manifest[[#This Row],[Seq]],"00")</f>
        <v>Ros_Sab_6_10</v>
      </c>
    </row>
    <row r="531" spans="1:7" x14ac:dyDescent="0.25">
      <c r="A531" t="s">
        <v>30</v>
      </c>
      <c r="B531" t="str">
        <f>Manifest[[#This Row],[newID]]</f>
        <v>Ros_Sab_6_11</v>
      </c>
      <c r="C531" t="s">
        <v>4</v>
      </c>
      <c r="D531" t="s">
        <v>65</v>
      </c>
      <c r="E531">
        <v>6</v>
      </c>
      <c r="F531">
        <f>IF(Manifest[[#This Row],[Segment]]=E530,F530+1,1)</f>
        <v>11</v>
      </c>
      <c r="G531" t="str">
        <f>"Ros_"&amp;Manifest[[#This Row],[Day]]&amp;"_"&amp;Manifest[[#This Row],[Segment]]&amp;"_"&amp;TEXT(Manifest[[#This Row],[Seq]],"00")</f>
        <v>Ros_Sab_6_11</v>
      </c>
    </row>
    <row r="532" spans="1:7" x14ac:dyDescent="0.25">
      <c r="A532" t="s">
        <v>31</v>
      </c>
      <c r="B532" t="str">
        <f>Manifest[[#This Row],[newID]]</f>
        <v>Ros_Sab_6_12</v>
      </c>
      <c r="C532" t="s">
        <v>4</v>
      </c>
      <c r="D532" t="s">
        <v>65</v>
      </c>
      <c r="E532">
        <v>6</v>
      </c>
      <c r="F532">
        <f>IF(Manifest[[#This Row],[Segment]]=E531,F531+1,1)</f>
        <v>12</v>
      </c>
      <c r="G532" t="str">
        <f>"Ros_"&amp;Manifest[[#This Row],[Day]]&amp;"_"&amp;Manifest[[#This Row],[Segment]]&amp;"_"&amp;TEXT(Manifest[[#This Row],[Seq]],"00")</f>
        <v>Ros_Sab_6_12</v>
      </c>
    </row>
    <row r="533" spans="1:7" x14ac:dyDescent="0.25">
      <c r="A533" t="s">
        <v>51</v>
      </c>
      <c r="B533" t="str">
        <f>Manifest[[#This Row],[newID]]</f>
        <v>Ros_Dom_0_01</v>
      </c>
      <c r="C533" t="s">
        <v>4</v>
      </c>
      <c r="D533" t="s">
        <v>71</v>
      </c>
      <c r="E533">
        <v>0</v>
      </c>
      <c r="F533">
        <f>IF(Manifest[[#This Row],[Segment]]=E532,F532+1,1)</f>
        <v>1</v>
      </c>
      <c r="G533" t="str">
        <f>"Ros_"&amp;Manifest[[#This Row],[Day]]&amp;"_"&amp;Manifest[[#This Row],[Segment]]&amp;"_"&amp;TEXT(Manifest[[#This Row],[Seq]],"00")</f>
        <v>Ros_Dom_0_01</v>
      </c>
    </row>
    <row r="534" spans="1:7" x14ac:dyDescent="0.25">
      <c r="A534" t="s">
        <v>7</v>
      </c>
      <c r="B534" t="str">
        <f>Manifest[[#This Row],[newID]]</f>
        <v>Ros_Dom_0_02</v>
      </c>
      <c r="C534" t="s">
        <v>4</v>
      </c>
      <c r="D534" t="s">
        <v>71</v>
      </c>
      <c r="E534">
        <v>0</v>
      </c>
      <c r="F534">
        <f>IF(Manifest[[#This Row],[Segment]]=E533,F533+1,1)</f>
        <v>2</v>
      </c>
      <c r="G534" t="str">
        <f>"Ros_"&amp;Manifest[[#This Row],[Day]]&amp;"_"&amp;Manifest[[#This Row],[Segment]]&amp;"_"&amp;TEXT(Manifest[[#This Row],[Seq]],"00")</f>
        <v>Ros_Dom_0_02</v>
      </c>
    </row>
    <row r="535" spans="1:7" x14ac:dyDescent="0.25">
      <c r="A535" t="s">
        <v>8</v>
      </c>
      <c r="B535" t="str">
        <f>Manifest[[#This Row],[newID]]</f>
        <v>Ros_Dom_0_03</v>
      </c>
      <c r="C535" t="s">
        <v>4</v>
      </c>
      <c r="D535" t="s">
        <v>71</v>
      </c>
      <c r="E535">
        <v>0</v>
      </c>
      <c r="F535">
        <f>IF(Manifest[[#This Row],[Segment]]=E534,F534+1,1)</f>
        <v>3</v>
      </c>
      <c r="G535" t="str">
        <f>"Ros_"&amp;Manifest[[#This Row],[Day]]&amp;"_"&amp;Manifest[[#This Row],[Segment]]&amp;"_"&amp;TEXT(Manifest[[#This Row],[Seq]],"00")</f>
        <v>Ros_Dom_0_03</v>
      </c>
    </row>
    <row r="536" spans="1:7" x14ac:dyDescent="0.25">
      <c r="A536" t="s">
        <v>9</v>
      </c>
      <c r="B536" t="str">
        <f>Manifest[[#This Row],[newID]]</f>
        <v>Ros_Dom_0_04</v>
      </c>
      <c r="C536" t="s">
        <v>4</v>
      </c>
      <c r="D536" t="s">
        <v>71</v>
      </c>
      <c r="E536">
        <v>0</v>
      </c>
      <c r="F536">
        <f>IF(Manifest[[#This Row],[Segment]]=E535,F535+1,1)</f>
        <v>4</v>
      </c>
      <c r="G536" t="str">
        <f>"Ros_"&amp;Manifest[[#This Row],[Day]]&amp;"_"&amp;Manifest[[#This Row],[Segment]]&amp;"_"&amp;TEXT(Manifest[[#This Row],[Seq]],"00")</f>
        <v>Ros_Dom_0_04</v>
      </c>
    </row>
    <row r="537" spans="1:7" x14ac:dyDescent="0.25">
      <c r="A537" t="s">
        <v>10</v>
      </c>
      <c r="B537" t="str">
        <f>Manifest[[#This Row],[newID]]</f>
        <v>Ros_Dom_0_05</v>
      </c>
      <c r="C537" t="s">
        <v>4</v>
      </c>
      <c r="D537" t="s">
        <v>71</v>
      </c>
      <c r="E537">
        <v>0</v>
      </c>
      <c r="F537">
        <f>IF(Manifest[[#This Row],[Segment]]=E536,F536+1,1)</f>
        <v>5</v>
      </c>
      <c r="G537" t="str">
        <f>"Ros_"&amp;Manifest[[#This Row],[Day]]&amp;"_"&amp;Manifest[[#This Row],[Segment]]&amp;"_"&amp;TEXT(Manifest[[#This Row],[Seq]],"00")</f>
        <v>Ros_Dom_0_05</v>
      </c>
    </row>
    <row r="538" spans="1:7" x14ac:dyDescent="0.25">
      <c r="A538" t="s">
        <v>11</v>
      </c>
      <c r="B538" t="str">
        <f>Manifest[[#This Row],[newID]]</f>
        <v>Ros_Dom_0_06</v>
      </c>
      <c r="C538" t="s">
        <v>4</v>
      </c>
      <c r="D538" t="s">
        <v>71</v>
      </c>
      <c r="E538">
        <v>0</v>
      </c>
      <c r="F538">
        <f>IF(Manifest[[#This Row],[Segment]]=E537,F537+1,1)</f>
        <v>6</v>
      </c>
      <c r="G538" t="str">
        <f>"Ros_"&amp;Manifest[[#This Row],[Day]]&amp;"_"&amp;Manifest[[#This Row],[Segment]]&amp;"_"&amp;TEXT(Manifest[[#This Row],[Seq]],"00")</f>
        <v>Ros_Dom_0_06</v>
      </c>
    </row>
    <row r="539" spans="1:7" x14ac:dyDescent="0.25">
      <c r="A539" t="s">
        <v>11</v>
      </c>
      <c r="B539" t="str">
        <f>Manifest[[#This Row],[newID]]</f>
        <v>Ros_Dom_0_07</v>
      </c>
      <c r="C539" t="s">
        <v>4</v>
      </c>
      <c r="D539" t="s">
        <v>71</v>
      </c>
      <c r="E539">
        <v>0</v>
      </c>
      <c r="F539">
        <f>IF(Manifest[[#This Row],[Segment]]=E538,F538+1,1)</f>
        <v>7</v>
      </c>
      <c r="G539" t="str">
        <f>"Ros_"&amp;Manifest[[#This Row],[Day]]&amp;"_"&amp;Manifest[[#This Row],[Segment]]&amp;"_"&amp;TEXT(Manifest[[#This Row],[Seq]],"00")</f>
        <v>Ros_Dom_0_07</v>
      </c>
    </row>
    <row r="540" spans="1:7" x14ac:dyDescent="0.25">
      <c r="A540" t="s">
        <v>11</v>
      </c>
      <c r="B540" t="str">
        <f>Manifest[[#This Row],[newID]]</f>
        <v>Ros_Dom_0_08</v>
      </c>
      <c r="C540" t="s">
        <v>4</v>
      </c>
      <c r="D540" t="s">
        <v>71</v>
      </c>
      <c r="E540">
        <v>0</v>
      </c>
      <c r="F540">
        <f>IF(Manifest[[#This Row],[Segment]]=E539,F539+1,1)</f>
        <v>8</v>
      </c>
      <c r="G540" t="str">
        <f>"Ros_"&amp;Manifest[[#This Row],[Day]]&amp;"_"&amp;Manifest[[#This Row],[Segment]]&amp;"_"&amp;TEXT(Manifest[[#This Row],[Seq]],"00")</f>
        <v>Ros_Dom_0_08</v>
      </c>
    </row>
    <row r="541" spans="1:7" x14ac:dyDescent="0.25">
      <c r="A541" t="s">
        <v>12</v>
      </c>
      <c r="B541" t="str">
        <f>Manifest[[#This Row],[newID]]</f>
        <v>Ros_Dom_0_09</v>
      </c>
      <c r="C541" t="s">
        <v>4</v>
      </c>
      <c r="D541" t="s">
        <v>71</v>
      </c>
      <c r="E541">
        <v>0</v>
      </c>
      <c r="F541">
        <f>IF(Manifest[[#This Row],[Segment]]=E540,F540+1,1)</f>
        <v>9</v>
      </c>
      <c r="G541" t="str">
        <f>"Ros_"&amp;Manifest[[#This Row],[Day]]&amp;"_"&amp;Manifest[[#This Row],[Segment]]&amp;"_"&amp;TEXT(Manifest[[#This Row],[Seq]],"00")</f>
        <v>Ros_Dom_0_09</v>
      </c>
    </row>
    <row r="542" spans="1:7" x14ac:dyDescent="0.25">
      <c r="A542" t="s">
        <v>13</v>
      </c>
      <c r="B542" t="str">
        <f>Manifest[[#This Row],[newID]]</f>
        <v>Ros_Dom_0_10</v>
      </c>
      <c r="C542" t="s">
        <v>4</v>
      </c>
      <c r="D542" t="s">
        <v>71</v>
      </c>
      <c r="E542">
        <v>0</v>
      </c>
      <c r="F542">
        <f>IF(Manifest[[#This Row],[Segment]]=E541,F541+1,1)</f>
        <v>10</v>
      </c>
      <c r="G542" t="str">
        <f>"Ros_"&amp;Manifest[[#This Row],[Day]]&amp;"_"&amp;Manifest[[#This Row],[Segment]]&amp;"_"&amp;TEXT(Manifest[[#This Row],[Seq]],"00")</f>
        <v>Ros_Dom_0_10</v>
      </c>
    </row>
    <row r="543" spans="1:7" x14ac:dyDescent="0.25">
      <c r="A543" t="s">
        <v>39</v>
      </c>
      <c r="B543" t="str">
        <f>Manifest[[#This Row],[newID]]</f>
        <v>Ros_Dom_1_01</v>
      </c>
      <c r="C543" t="s">
        <v>4</v>
      </c>
      <c r="D543" t="s">
        <v>71</v>
      </c>
      <c r="E543">
        <v>1</v>
      </c>
      <c r="F543">
        <f>IF(Manifest[[#This Row],[Segment]]=E542,F542+1,1)</f>
        <v>1</v>
      </c>
      <c r="G543" t="str">
        <f>"Ros_"&amp;Manifest[[#This Row],[Day]]&amp;"_"&amp;Manifest[[#This Row],[Segment]]&amp;"_"&amp;TEXT(Manifest[[#This Row],[Seq]],"00")</f>
        <v>Ros_Dom_1_01</v>
      </c>
    </row>
    <row r="544" spans="1:7" x14ac:dyDescent="0.25">
      <c r="A544" t="s">
        <v>10</v>
      </c>
      <c r="B544" t="str">
        <f>Manifest[[#This Row],[newID]]</f>
        <v>Ros_Dom_1_02</v>
      </c>
      <c r="C544" t="s">
        <v>4</v>
      </c>
      <c r="D544" t="s">
        <v>71</v>
      </c>
      <c r="E544">
        <v>1</v>
      </c>
      <c r="F544">
        <f>IF(Manifest[[#This Row],[Segment]]=E543,F543+1,1)</f>
        <v>2</v>
      </c>
      <c r="G544" t="str">
        <f>"Ros_"&amp;Manifest[[#This Row],[Day]]&amp;"_"&amp;Manifest[[#This Row],[Segment]]&amp;"_"&amp;TEXT(Manifest[[#This Row],[Seq]],"00")</f>
        <v>Ros_Dom_1_02</v>
      </c>
    </row>
    <row r="545" spans="1:7" x14ac:dyDescent="0.25">
      <c r="A545" t="s">
        <v>11</v>
      </c>
      <c r="B545" t="str">
        <f>Manifest[[#This Row],[newID]]</f>
        <v>Ros_Dom_1_03</v>
      </c>
      <c r="C545" t="s">
        <v>4</v>
      </c>
      <c r="D545" t="s">
        <v>71</v>
      </c>
      <c r="E545">
        <v>1</v>
      </c>
      <c r="F545">
        <f>IF(Manifest[[#This Row],[Segment]]=E544,F544+1,1)</f>
        <v>3</v>
      </c>
      <c r="G545" t="str">
        <f>"Ros_"&amp;Manifest[[#This Row],[Day]]&amp;"_"&amp;Manifest[[#This Row],[Segment]]&amp;"_"&amp;TEXT(Manifest[[#This Row],[Seq]],"00")</f>
        <v>Ros_Dom_1_03</v>
      </c>
    </row>
    <row r="546" spans="1:7" x14ac:dyDescent="0.25">
      <c r="A546" t="s">
        <v>11</v>
      </c>
      <c r="B546" t="str">
        <f>Manifest[[#This Row],[newID]]</f>
        <v>Ros_Dom_1_04</v>
      </c>
      <c r="C546" t="s">
        <v>4</v>
      </c>
      <c r="D546" t="s">
        <v>71</v>
      </c>
      <c r="E546">
        <v>1</v>
      </c>
      <c r="F546">
        <f>IF(Manifest[[#This Row],[Segment]]=E545,F545+1,1)</f>
        <v>4</v>
      </c>
      <c r="G546" t="str">
        <f>"Ros_"&amp;Manifest[[#This Row],[Day]]&amp;"_"&amp;Manifest[[#This Row],[Segment]]&amp;"_"&amp;TEXT(Manifest[[#This Row],[Seq]],"00")</f>
        <v>Ros_Dom_1_04</v>
      </c>
    </row>
    <row r="547" spans="1:7" x14ac:dyDescent="0.25">
      <c r="A547" t="s">
        <v>11</v>
      </c>
      <c r="B547" t="str">
        <f>Manifest[[#This Row],[newID]]</f>
        <v>Ros_Dom_1_05</v>
      </c>
      <c r="C547" t="s">
        <v>4</v>
      </c>
      <c r="D547" t="s">
        <v>71</v>
      </c>
      <c r="E547">
        <v>1</v>
      </c>
      <c r="F547">
        <f>IF(Manifest[[#This Row],[Segment]]=E546,F546+1,1)</f>
        <v>5</v>
      </c>
      <c r="G547" t="str">
        <f>"Ros_"&amp;Manifest[[#This Row],[Day]]&amp;"_"&amp;Manifest[[#This Row],[Segment]]&amp;"_"&amp;TEXT(Manifest[[#This Row],[Seq]],"00")</f>
        <v>Ros_Dom_1_05</v>
      </c>
    </row>
    <row r="548" spans="1:7" x14ac:dyDescent="0.25">
      <c r="A548" t="s">
        <v>11</v>
      </c>
      <c r="B548" t="str">
        <f>Manifest[[#This Row],[newID]]</f>
        <v>Ros_Dom_1_06</v>
      </c>
      <c r="C548" t="s">
        <v>4</v>
      </c>
      <c r="D548" t="s">
        <v>71</v>
      </c>
      <c r="E548">
        <v>1</v>
      </c>
      <c r="F548">
        <f>IF(Manifest[[#This Row],[Segment]]=E547,F547+1,1)</f>
        <v>6</v>
      </c>
      <c r="G548" t="str">
        <f>"Ros_"&amp;Manifest[[#This Row],[Day]]&amp;"_"&amp;Manifest[[#This Row],[Segment]]&amp;"_"&amp;TEXT(Manifest[[#This Row],[Seq]],"00")</f>
        <v>Ros_Dom_1_06</v>
      </c>
    </row>
    <row r="549" spans="1:7" x14ac:dyDescent="0.25">
      <c r="A549" t="s">
        <v>11</v>
      </c>
      <c r="B549" t="str">
        <f>Manifest[[#This Row],[newID]]</f>
        <v>Ros_Dom_1_07</v>
      </c>
      <c r="C549" t="s">
        <v>4</v>
      </c>
      <c r="D549" t="s">
        <v>71</v>
      </c>
      <c r="E549">
        <v>1</v>
      </c>
      <c r="F549">
        <f>IF(Manifest[[#This Row],[Segment]]=E548,F548+1,1)</f>
        <v>7</v>
      </c>
      <c r="G549" t="str">
        <f>"Ros_"&amp;Manifest[[#This Row],[Day]]&amp;"_"&amp;Manifest[[#This Row],[Segment]]&amp;"_"&amp;TEXT(Manifest[[#This Row],[Seq]],"00")</f>
        <v>Ros_Dom_1_07</v>
      </c>
    </row>
    <row r="550" spans="1:7" x14ac:dyDescent="0.25">
      <c r="A550" t="s">
        <v>11</v>
      </c>
      <c r="B550" t="str">
        <f>Manifest[[#This Row],[newID]]</f>
        <v>Ros_Dom_1_08</v>
      </c>
      <c r="C550" t="s">
        <v>4</v>
      </c>
      <c r="D550" t="s">
        <v>71</v>
      </c>
      <c r="E550">
        <v>1</v>
      </c>
      <c r="F550">
        <f>IF(Manifest[[#This Row],[Segment]]=E549,F549+1,1)</f>
        <v>8</v>
      </c>
      <c r="G550" t="str">
        <f>"Ros_"&amp;Manifest[[#This Row],[Day]]&amp;"_"&amp;Manifest[[#This Row],[Segment]]&amp;"_"&amp;TEXT(Manifest[[#This Row],[Seq]],"00")</f>
        <v>Ros_Dom_1_08</v>
      </c>
    </row>
    <row r="551" spans="1:7" x14ac:dyDescent="0.25">
      <c r="A551" t="s">
        <v>11</v>
      </c>
      <c r="B551" t="str">
        <f>Manifest[[#This Row],[newID]]</f>
        <v>Ros_Dom_1_09</v>
      </c>
      <c r="C551" t="s">
        <v>4</v>
      </c>
      <c r="D551" t="s">
        <v>71</v>
      </c>
      <c r="E551">
        <v>1</v>
      </c>
      <c r="F551">
        <f>IF(Manifest[[#This Row],[Segment]]=E550,F550+1,1)</f>
        <v>9</v>
      </c>
      <c r="G551" t="str">
        <f>"Ros_"&amp;Manifest[[#This Row],[Day]]&amp;"_"&amp;Manifest[[#This Row],[Segment]]&amp;"_"&amp;TEXT(Manifest[[#This Row],[Seq]],"00")</f>
        <v>Ros_Dom_1_09</v>
      </c>
    </row>
    <row r="552" spans="1:7" x14ac:dyDescent="0.25">
      <c r="A552" t="s">
        <v>11</v>
      </c>
      <c r="B552" t="str">
        <f>Manifest[[#This Row],[newID]]</f>
        <v>Ros_Dom_1_10</v>
      </c>
      <c r="C552" t="s">
        <v>4</v>
      </c>
      <c r="D552" t="s">
        <v>71</v>
      </c>
      <c r="E552">
        <v>1</v>
      </c>
      <c r="F552">
        <f>IF(Manifest[[#This Row],[Segment]]=E551,F551+1,1)</f>
        <v>10</v>
      </c>
      <c r="G552" t="str">
        <f>"Ros_"&amp;Manifest[[#This Row],[Day]]&amp;"_"&amp;Manifest[[#This Row],[Segment]]&amp;"_"&amp;TEXT(Manifest[[#This Row],[Seq]],"00")</f>
        <v>Ros_Dom_1_10</v>
      </c>
    </row>
    <row r="553" spans="1:7" x14ac:dyDescent="0.25">
      <c r="A553" t="s">
        <v>11</v>
      </c>
      <c r="B553" t="str">
        <f>Manifest[[#This Row],[newID]]</f>
        <v>Ros_Dom_1_11</v>
      </c>
      <c r="C553" t="s">
        <v>4</v>
      </c>
      <c r="D553" t="s">
        <v>71</v>
      </c>
      <c r="E553">
        <v>1</v>
      </c>
      <c r="F553">
        <f>IF(Manifest[[#This Row],[Segment]]=E552,F552+1,1)</f>
        <v>11</v>
      </c>
      <c r="G553" t="str">
        <f>"Ros_"&amp;Manifest[[#This Row],[Day]]&amp;"_"&amp;Manifest[[#This Row],[Segment]]&amp;"_"&amp;TEXT(Manifest[[#This Row],[Seq]],"00")</f>
        <v>Ros_Dom_1_11</v>
      </c>
    </row>
    <row r="554" spans="1:7" x14ac:dyDescent="0.25">
      <c r="A554" t="s">
        <v>11</v>
      </c>
      <c r="B554" t="str">
        <f>Manifest[[#This Row],[newID]]</f>
        <v>Ros_Dom_1_12</v>
      </c>
      <c r="C554" t="s">
        <v>4</v>
      </c>
      <c r="D554" t="s">
        <v>71</v>
      </c>
      <c r="E554">
        <v>1</v>
      </c>
      <c r="F554">
        <f>IF(Manifest[[#This Row],[Segment]]=E553,F553+1,1)</f>
        <v>12</v>
      </c>
      <c r="G554" t="str">
        <f>"Ros_"&amp;Manifest[[#This Row],[Day]]&amp;"_"&amp;Manifest[[#This Row],[Segment]]&amp;"_"&amp;TEXT(Manifest[[#This Row],[Seq]],"00")</f>
        <v>Ros_Dom_1_12</v>
      </c>
    </row>
    <row r="555" spans="1:7" x14ac:dyDescent="0.25">
      <c r="A555" t="s">
        <v>12</v>
      </c>
      <c r="B555" t="str">
        <f>Manifest[[#This Row],[newID]]</f>
        <v>Ros_Dom_1_13</v>
      </c>
      <c r="C555" t="s">
        <v>4</v>
      </c>
      <c r="D555" t="s">
        <v>71</v>
      </c>
      <c r="E555">
        <v>1</v>
      </c>
      <c r="F555">
        <f>IF(Manifest[[#This Row],[Segment]]=E554,F554+1,1)</f>
        <v>13</v>
      </c>
      <c r="G555" t="str">
        <f>"Ros_"&amp;Manifest[[#This Row],[Day]]&amp;"_"&amp;Manifest[[#This Row],[Segment]]&amp;"_"&amp;TEXT(Manifest[[#This Row],[Seq]],"00")</f>
        <v>Ros_Dom_1_13</v>
      </c>
    </row>
    <row r="556" spans="1:7" x14ac:dyDescent="0.25">
      <c r="A556" t="s">
        <v>15</v>
      </c>
      <c r="B556" t="str">
        <f>Manifest[[#This Row],[newID]]</f>
        <v>Ros_Dom_1_14</v>
      </c>
      <c r="C556" t="s">
        <v>4</v>
      </c>
      <c r="D556" t="s">
        <v>71</v>
      </c>
      <c r="E556">
        <v>1</v>
      </c>
      <c r="F556">
        <f>IF(Manifest[[#This Row],[Segment]]=E555,F555+1,1)</f>
        <v>14</v>
      </c>
      <c r="G556" t="str">
        <f>"Ros_"&amp;Manifest[[#This Row],[Day]]&amp;"_"&amp;Manifest[[#This Row],[Segment]]&amp;"_"&amp;TEXT(Manifest[[#This Row],[Seq]],"00")</f>
        <v>Ros_Dom_1_14</v>
      </c>
    </row>
    <row r="557" spans="1:7" x14ac:dyDescent="0.25">
      <c r="A557" t="s">
        <v>40</v>
      </c>
      <c r="B557" t="str">
        <f>Manifest[[#This Row],[newID]]</f>
        <v>Ros_Dom_2_01</v>
      </c>
      <c r="C557" t="s">
        <v>4</v>
      </c>
      <c r="D557" t="s">
        <v>71</v>
      </c>
      <c r="E557">
        <v>2</v>
      </c>
      <c r="F557">
        <f>IF(Manifest[[#This Row],[Segment]]=E556,F556+1,1)</f>
        <v>1</v>
      </c>
      <c r="G557" t="str">
        <f>"Ros_"&amp;Manifest[[#This Row],[Day]]&amp;"_"&amp;Manifest[[#This Row],[Segment]]&amp;"_"&amp;TEXT(Manifest[[#This Row],[Seq]],"00")</f>
        <v>Ros_Dom_2_01</v>
      </c>
    </row>
    <row r="558" spans="1:7" x14ac:dyDescent="0.25">
      <c r="A558" t="s">
        <v>10</v>
      </c>
      <c r="B558" t="str">
        <f>Manifest[[#This Row],[newID]]</f>
        <v>Ros_Dom_2_02</v>
      </c>
      <c r="C558" t="s">
        <v>4</v>
      </c>
      <c r="D558" t="s">
        <v>71</v>
      </c>
      <c r="E558">
        <v>2</v>
      </c>
      <c r="F558">
        <f>IF(Manifest[[#This Row],[Segment]]=E557,F557+1,1)</f>
        <v>2</v>
      </c>
      <c r="G558" t="str">
        <f>"Ros_"&amp;Manifest[[#This Row],[Day]]&amp;"_"&amp;Manifest[[#This Row],[Segment]]&amp;"_"&amp;TEXT(Manifest[[#This Row],[Seq]],"00")</f>
        <v>Ros_Dom_2_02</v>
      </c>
    </row>
    <row r="559" spans="1:7" x14ac:dyDescent="0.25">
      <c r="A559" t="s">
        <v>11</v>
      </c>
      <c r="B559" t="str">
        <f>Manifest[[#This Row],[newID]]</f>
        <v>Ros_Dom_2_03</v>
      </c>
      <c r="C559" t="s">
        <v>4</v>
      </c>
      <c r="D559" t="s">
        <v>71</v>
      </c>
      <c r="E559">
        <v>2</v>
      </c>
      <c r="F559">
        <f>IF(Manifest[[#This Row],[Segment]]=E558,F558+1,1)</f>
        <v>3</v>
      </c>
      <c r="G559" t="str">
        <f>"Ros_"&amp;Manifest[[#This Row],[Day]]&amp;"_"&amp;Manifest[[#This Row],[Segment]]&amp;"_"&amp;TEXT(Manifest[[#This Row],[Seq]],"00")</f>
        <v>Ros_Dom_2_03</v>
      </c>
    </row>
    <row r="560" spans="1:7" x14ac:dyDescent="0.25">
      <c r="A560" t="s">
        <v>11</v>
      </c>
      <c r="B560" t="str">
        <f>Manifest[[#This Row],[newID]]</f>
        <v>Ros_Dom_2_04</v>
      </c>
      <c r="C560" t="s">
        <v>4</v>
      </c>
      <c r="D560" t="s">
        <v>71</v>
      </c>
      <c r="E560">
        <v>2</v>
      </c>
      <c r="F560">
        <f>IF(Manifest[[#This Row],[Segment]]=E559,F559+1,1)</f>
        <v>4</v>
      </c>
      <c r="G560" t="str">
        <f>"Ros_"&amp;Manifest[[#This Row],[Day]]&amp;"_"&amp;Manifest[[#This Row],[Segment]]&amp;"_"&amp;TEXT(Manifest[[#This Row],[Seq]],"00")</f>
        <v>Ros_Dom_2_04</v>
      </c>
    </row>
    <row r="561" spans="1:7" x14ac:dyDescent="0.25">
      <c r="A561" t="s">
        <v>11</v>
      </c>
      <c r="B561" t="str">
        <f>Manifest[[#This Row],[newID]]</f>
        <v>Ros_Dom_2_05</v>
      </c>
      <c r="C561" t="s">
        <v>4</v>
      </c>
      <c r="D561" t="s">
        <v>71</v>
      </c>
      <c r="E561">
        <v>2</v>
      </c>
      <c r="F561">
        <f>IF(Manifest[[#This Row],[Segment]]=E560,F560+1,1)</f>
        <v>5</v>
      </c>
      <c r="G561" t="str">
        <f>"Ros_"&amp;Manifest[[#This Row],[Day]]&amp;"_"&amp;Manifest[[#This Row],[Segment]]&amp;"_"&amp;TEXT(Manifest[[#This Row],[Seq]],"00")</f>
        <v>Ros_Dom_2_05</v>
      </c>
    </row>
    <row r="562" spans="1:7" x14ac:dyDescent="0.25">
      <c r="A562" t="s">
        <v>11</v>
      </c>
      <c r="B562" t="str">
        <f>Manifest[[#This Row],[newID]]</f>
        <v>Ros_Dom_2_06</v>
      </c>
      <c r="C562" t="s">
        <v>4</v>
      </c>
      <c r="D562" t="s">
        <v>71</v>
      </c>
      <c r="E562">
        <v>2</v>
      </c>
      <c r="F562">
        <f>IF(Manifest[[#This Row],[Segment]]=E561,F561+1,1)</f>
        <v>6</v>
      </c>
      <c r="G562" t="str">
        <f>"Ros_"&amp;Manifest[[#This Row],[Day]]&amp;"_"&amp;Manifest[[#This Row],[Segment]]&amp;"_"&amp;TEXT(Manifest[[#This Row],[Seq]],"00")</f>
        <v>Ros_Dom_2_06</v>
      </c>
    </row>
    <row r="563" spans="1:7" x14ac:dyDescent="0.25">
      <c r="A563" t="s">
        <v>11</v>
      </c>
      <c r="B563" t="str">
        <f>Manifest[[#This Row],[newID]]</f>
        <v>Ros_Dom_2_07</v>
      </c>
      <c r="C563" t="s">
        <v>4</v>
      </c>
      <c r="D563" t="s">
        <v>71</v>
      </c>
      <c r="E563">
        <v>2</v>
      </c>
      <c r="F563">
        <f>IF(Manifest[[#This Row],[Segment]]=E562,F562+1,1)</f>
        <v>7</v>
      </c>
      <c r="G563" t="str">
        <f>"Ros_"&amp;Manifest[[#This Row],[Day]]&amp;"_"&amp;Manifest[[#This Row],[Segment]]&amp;"_"&amp;TEXT(Manifest[[#This Row],[Seq]],"00")</f>
        <v>Ros_Dom_2_07</v>
      </c>
    </row>
    <row r="564" spans="1:7" x14ac:dyDescent="0.25">
      <c r="A564" t="s">
        <v>11</v>
      </c>
      <c r="B564" t="str">
        <f>Manifest[[#This Row],[newID]]</f>
        <v>Ros_Dom_2_08</v>
      </c>
      <c r="C564" t="s">
        <v>4</v>
      </c>
      <c r="D564" t="s">
        <v>71</v>
      </c>
      <c r="E564">
        <v>2</v>
      </c>
      <c r="F564">
        <f>IF(Manifest[[#This Row],[Segment]]=E563,F563+1,1)</f>
        <v>8</v>
      </c>
      <c r="G564" t="str">
        <f>"Ros_"&amp;Manifest[[#This Row],[Day]]&amp;"_"&amp;Manifest[[#This Row],[Segment]]&amp;"_"&amp;TEXT(Manifest[[#This Row],[Seq]],"00")</f>
        <v>Ros_Dom_2_08</v>
      </c>
    </row>
    <row r="565" spans="1:7" x14ac:dyDescent="0.25">
      <c r="A565" t="s">
        <v>11</v>
      </c>
      <c r="B565" t="str">
        <f>Manifest[[#This Row],[newID]]</f>
        <v>Ros_Dom_2_09</v>
      </c>
      <c r="C565" t="s">
        <v>4</v>
      </c>
      <c r="D565" t="s">
        <v>71</v>
      </c>
      <c r="E565">
        <v>2</v>
      </c>
      <c r="F565">
        <f>IF(Manifest[[#This Row],[Segment]]=E564,F564+1,1)</f>
        <v>9</v>
      </c>
      <c r="G565" t="str">
        <f>"Ros_"&amp;Manifest[[#This Row],[Day]]&amp;"_"&amp;Manifest[[#This Row],[Segment]]&amp;"_"&amp;TEXT(Manifest[[#This Row],[Seq]],"00")</f>
        <v>Ros_Dom_2_09</v>
      </c>
    </row>
    <row r="566" spans="1:7" x14ac:dyDescent="0.25">
      <c r="A566" t="s">
        <v>11</v>
      </c>
      <c r="B566" t="str">
        <f>Manifest[[#This Row],[newID]]</f>
        <v>Ros_Dom_2_10</v>
      </c>
      <c r="C566" t="s">
        <v>4</v>
      </c>
      <c r="D566" t="s">
        <v>71</v>
      </c>
      <c r="E566">
        <v>2</v>
      </c>
      <c r="F566">
        <f>IF(Manifest[[#This Row],[Segment]]=E565,F565+1,1)</f>
        <v>10</v>
      </c>
      <c r="G566" t="str">
        <f>"Ros_"&amp;Manifest[[#This Row],[Day]]&amp;"_"&amp;Manifest[[#This Row],[Segment]]&amp;"_"&amp;TEXT(Manifest[[#This Row],[Seq]],"00")</f>
        <v>Ros_Dom_2_10</v>
      </c>
    </row>
    <row r="567" spans="1:7" x14ac:dyDescent="0.25">
      <c r="A567" t="s">
        <v>11</v>
      </c>
      <c r="B567" t="str">
        <f>Manifest[[#This Row],[newID]]</f>
        <v>Ros_Dom_2_11</v>
      </c>
      <c r="C567" t="s">
        <v>4</v>
      </c>
      <c r="D567" t="s">
        <v>71</v>
      </c>
      <c r="E567">
        <v>2</v>
      </c>
      <c r="F567">
        <f>IF(Manifest[[#This Row],[Segment]]=E566,F566+1,1)</f>
        <v>11</v>
      </c>
      <c r="G567" t="str">
        <f>"Ros_"&amp;Manifest[[#This Row],[Day]]&amp;"_"&amp;Manifest[[#This Row],[Segment]]&amp;"_"&amp;TEXT(Manifest[[#This Row],[Seq]],"00")</f>
        <v>Ros_Dom_2_11</v>
      </c>
    </row>
    <row r="568" spans="1:7" x14ac:dyDescent="0.25">
      <c r="A568" t="s">
        <v>11</v>
      </c>
      <c r="B568" t="str">
        <f>Manifest[[#This Row],[newID]]</f>
        <v>Ros_Dom_2_12</v>
      </c>
      <c r="C568" t="s">
        <v>4</v>
      </c>
      <c r="D568" t="s">
        <v>71</v>
      </c>
      <c r="E568">
        <v>2</v>
      </c>
      <c r="F568">
        <f>IF(Manifest[[#This Row],[Segment]]=E567,F567+1,1)</f>
        <v>12</v>
      </c>
      <c r="G568" t="str">
        <f>"Ros_"&amp;Manifest[[#This Row],[Day]]&amp;"_"&amp;Manifest[[#This Row],[Segment]]&amp;"_"&amp;TEXT(Manifest[[#This Row],[Seq]],"00")</f>
        <v>Ros_Dom_2_12</v>
      </c>
    </row>
    <row r="569" spans="1:7" x14ac:dyDescent="0.25">
      <c r="A569" t="s">
        <v>12</v>
      </c>
      <c r="B569" t="str">
        <f>Manifest[[#This Row],[newID]]</f>
        <v>Ros_Dom_2_13</v>
      </c>
      <c r="C569" t="s">
        <v>4</v>
      </c>
      <c r="D569" t="s">
        <v>71</v>
      </c>
      <c r="E569">
        <v>2</v>
      </c>
      <c r="F569">
        <f>IF(Manifest[[#This Row],[Segment]]=E568,F568+1,1)</f>
        <v>13</v>
      </c>
      <c r="G569" t="str">
        <f>"Ros_"&amp;Manifest[[#This Row],[Day]]&amp;"_"&amp;Manifest[[#This Row],[Segment]]&amp;"_"&amp;TEXT(Manifest[[#This Row],[Seq]],"00")</f>
        <v>Ros_Dom_2_13</v>
      </c>
    </row>
    <row r="570" spans="1:7" x14ac:dyDescent="0.25">
      <c r="A570" t="s">
        <v>15</v>
      </c>
      <c r="B570" t="str">
        <f>Manifest[[#This Row],[newID]]</f>
        <v>Ros_Dom_2_14</v>
      </c>
      <c r="C570" t="s">
        <v>4</v>
      </c>
      <c r="D570" t="s">
        <v>71</v>
      </c>
      <c r="E570">
        <v>2</v>
      </c>
      <c r="F570">
        <f>IF(Manifest[[#This Row],[Segment]]=E569,F569+1,1)</f>
        <v>14</v>
      </c>
      <c r="G570" t="str">
        <f>"Ros_"&amp;Manifest[[#This Row],[Day]]&amp;"_"&amp;Manifest[[#This Row],[Segment]]&amp;"_"&amp;TEXT(Manifest[[#This Row],[Seq]],"00")</f>
        <v>Ros_Dom_2_14</v>
      </c>
    </row>
    <row r="571" spans="1:7" x14ac:dyDescent="0.25">
      <c r="A571" t="s">
        <v>41</v>
      </c>
      <c r="B571" t="str">
        <f>Manifest[[#This Row],[newID]]</f>
        <v>Ros_Dom_3_01</v>
      </c>
      <c r="C571" t="s">
        <v>4</v>
      </c>
      <c r="D571" t="s">
        <v>71</v>
      </c>
      <c r="E571">
        <v>3</v>
      </c>
      <c r="F571">
        <f>IF(Manifest[[#This Row],[Segment]]=E570,F570+1,1)</f>
        <v>1</v>
      </c>
      <c r="G571" t="str">
        <f>"Ros_"&amp;Manifest[[#This Row],[Day]]&amp;"_"&amp;Manifest[[#This Row],[Segment]]&amp;"_"&amp;TEXT(Manifest[[#This Row],[Seq]],"00")</f>
        <v>Ros_Dom_3_01</v>
      </c>
    </row>
    <row r="572" spans="1:7" x14ac:dyDescent="0.25">
      <c r="A572" t="s">
        <v>10</v>
      </c>
      <c r="B572" t="str">
        <f>Manifest[[#This Row],[newID]]</f>
        <v>Ros_Dom_3_02</v>
      </c>
      <c r="C572" t="s">
        <v>4</v>
      </c>
      <c r="D572" t="s">
        <v>71</v>
      </c>
      <c r="E572">
        <v>3</v>
      </c>
      <c r="F572">
        <f>IF(Manifest[[#This Row],[Segment]]=E571,F571+1,1)</f>
        <v>2</v>
      </c>
      <c r="G572" t="str">
        <f>"Ros_"&amp;Manifest[[#This Row],[Day]]&amp;"_"&amp;Manifest[[#This Row],[Segment]]&amp;"_"&amp;TEXT(Manifest[[#This Row],[Seq]],"00")</f>
        <v>Ros_Dom_3_02</v>
      </c>
    </row>
    <row r="573" spans="1:7" x14ac:dyDescent="0.25">
      <c r="A573" t="s">
        <v>11</v>
      </c>
      <c r="B573" t="str">
        <f>Manifest[[#This Row],[newID]]</f>
        <v>Ros_Dom_3_03</v>
      </c>
      <c r="C573" t="s">
        <v>4</v>
      </c>
      <c r="D573" t="s">
        <v>71</v>
      </c>
      <c r="E573">
        <v>3</v>
      </c>
      <c r="F573">
        <f>IF(Manifest[[#This Row],[Segment]]=E572,F572+1,1)</f>
        <v>3</v>
      </c>
      <c r="G573" t="str">
        <f>"Ros_"&amp;Manifest[[#This Row],[Day]]&amp;"_"&amp;Manifest[[#This Row],[Segment]]&amp;"_"&amp;TEXT(Manifest[[#This Row],[Seq]],"00")</f>
        <v>Ros_Dom_3_03</v>
      </c>
    </row>
    <row r="574" spans="1:7" x14ac:dyDescent="0.25">
      <c r="A574" t="s">
        <v>11</v>
      </c>
      <c r="B574" t="str">
        <f>Manifest[[#This Row],[newID]]</f>
        <v>Ros_Dom_3_04</v>
      </c>
      <c r="C574" t="s">
        <v>4</v>
      </c>
      <c r="D574" t="s">
        <v>71</v>
      </c>
      <c r="E574">
        <v>3</v>
      </c>
      <c r="F574">
        <f>IF(Manifest[[#This Row],[Segment]]=E573,F573+1,1)</f>
        <v>4</v>
      </c>
      <c r="G574" t="str">
        <f>"Ros_"&amp;Manifest[[#This Row],[Day]]&amp;"_"&amp;Manifest[[#This Row],[Segment]]&amp;"_"&amp;TEXT(Manifest[[#This Row],[Seq]],"00")</f>
        <v>Ros_Dom_3_04</v>
      </c>
    </row>
    <row r="575" spans="1:7" x14ac:dyDescent="0.25">
      <c r="A575" t="s">
        <v>11</v>
      </c>
      <c r="B575" t="str">
        <f>Manifest[[#This Row],[newID]]</f>
        <v>Ros_Dom_3_05</v>
      </c>
      <c r="C575" t="s">
        <v>4</v>
      </c>
      <c r="D575" t="s">
        <v>71</v>
      </c>
      <c r="E575">
        <v>3</v>
      </c>
      <c r="F575">
        <f>IF(Manifest[[#This Row],[Segment]]=E574,F574+1,1)</f>
        <v>5</v>
      </c>
      <c r="G575" t="str">
        <f>"Ros_"&amp;Manifest[[#This Row],[Day]]&amp;"_"&amp;Manifest[[#This Row],[Segment]]&amp;"_"&amp;TEXT(Manifest[[#This Row],[Seq]],"00")</f>
        <v>Ros_Dom_3_05</v>
      </c>
    </row>
    <row r="576" spans="1:7" x14ac:dyDescent="0.25">
      <c r="A576" t="s">
        <v>11</v>
      </c>
      <c r="B576" t="str">
        <f>Manifest[[#This Row],[newID]]</f>
        <v>Ros_Dom_3_06</v>
      </c>
      <c r="C576" t="s">
        <v>4</v>
      </c>
      <c r="D576" t="s">
        <v>71</v>
      </c>
      <c r="E576">
        <v>3</v>
      </c>
      <c r="F576">
        <f>IF(Manifest[[#This Row],[Segment]]=E575,F575+1,1)</f>
        <v>6</v>
      </c>
      <c r="G576" t="str">
        <f>"Ros_"&amp;Manifest[[#This Row],[Day]]&amp;"_"&amp;Manifest[[#This Row],[Segment]]&amp;"_"&amp;TEXT(Manifest[[#This Row],[Seq]],"00")</f>
        <v>Ros_Dom_3_06</v>
      </c>
    </row>
    <row r="577" spans="1:7" x14ac:dyDescent="0.25">
      <c r="A577" t="s">
        <v>11</v>
      </c>
      <c r="B577" t="str">
        <f>Manifest[[#This Row],[newID]]</f>
        <v>Ros_Dom_3_07</v>
      </c>
      <c r="C577" t="s">
        <v>4</v>
      </c>
      <c r="D577" t="s">
        <v>71</v>
      </c>
      <c r="E577">
        <v>3</v>
      </c>
      <c r="F577">
        <f>IF(Manifest[[#This Row],[Segment]]=E576,F576+1,1)</f>
        <v>7</v>
      </c>
      <c r="G577" t="str">
        <f>"Ros_"&amp;Manifest[[#This Row],[Day]]&amp;"_"&amp;Manifest[[#This Row],[Segment]]&amp;"_"&amp;TEXT(Manifest[[#This Row],[Seq]],"00")</f>
        <v>Ros_Dom_3_07</v>
      </c>
    </row>
    <row r="578" spans="1:7" x14ac:dyDescent="0.25">
      <c r="A578" t="s">
        <v>11</v>
      </c>
      <c r="B578" t="str">
        <f>Manifest[[#This Row],[newID]]</f>
        <v>Ros_Dom_3_08</v>
      </c>
      <c r="C578" t="s">
        <v>4</v>
      </c>
      <c r="D578" t="s">
        <v>71</v>
      </c>
      <c r="E578">
        <v>3</v>
      </c>
      <c r="F578">
        <f>IF(Manifest[[#This Row],[Segment]]=E577,F577+1,1)</f>
        <v>8</v>
      </c>
      <c r="G578" t="str">
        <f>"Ros_"&amp;Manifest[[#This Row],[Day]]&amp;"_"&amp;Manifest[[#This Row],[Segment]]&amp;"_"&amp;TEXT(Manifest[[#This Row],[Seq]],"00")</f>
        <v>Ros_Dom_3_08</v>
      </c>
    </row>
    <row r="579" spans="1:7" x14ac:dyDescent="0.25">
      <c r="A579" t="s">
        <v>11</v>
      </c>
      <c r="B579" t="str">
        <f>Manifest[[#This Row],[newID]]</f>
        <v>Ros_Dom_3_09</v>
      </c>
      <c r="C579" t="s">
        <v>4</v>
      </c>
      <c r="D579" t="s">
        <v>71</v>
      </c>
      <c r="E579">
        <v>3</v>
      </c>
      <c r="F579">
        <f>IF(Manifest[[#This Row],[Segment]]=E578,F578+1,1)</f>
        <v>9</v>
      </c>
      <c r="G579" t="str">
        <f>"Ros_"&amp;Manifest[[#This Row],[Day]]&amp;"_"&amp;Manifest[[#This Row],[Segment]]&amp;"_"&amp;TEXT(Manifest[[#This Row],[Seq]],"00")</f>
        <v>Ros_Dom_3_09</v>
      </c>
    </row>
    <row r="580" spans="1:7" x14ac:dyDescent="0.25">
      <c r="A580" t="s">
        <v>11</v>
      </c>
      <c r="B580" t="str">
        <f>Manifest[[#This Row],[newID]]</f>
        <v>Ros_Dom_3_10</v>
      </c>
      <c r="C580" t="s">
        <v>4</v>
      </c>
      <c r="D580" t="s">
        <v>71</v>
      </c>
      <c r="E580">
        <v>3</v>
      </c>
      <c r="F580">
        <f>IF(Manifest[[#This Row],[Segment]]=E579,F579+1,1)</f>
        <v>10</v>
      </c>
      <c r="G580" t="str">
        <f>"Ros_"&amp;Manifest[[#This Row],[Day]]&amp;"_"&amp;Manifest[[#This Row],[Segment]]&amp;"_"&amp;TEXT(Manifest[[#This Row],[Seq]],"00")</f>
        <v>Ros_Dom_3_10</v>
      </c>
    </row>
    <row r="581" spans="1:7" x14ac:dyDescent="0.25">
      <c r="A581" t="s">
        <v>11</v>
      </c>
      <c r="B581" t="str">
        <f>Manifest[[#This Row],[newID]]</f>
        <v>Ros_Dom_3_11</v>
      </c>
      <c r="C581" t="s">
        <v>4</v>
      </c>
      <c r="D581" t="s">
        <v>71</v>
      </c>
      <c r="E581">
        <v>3</v>
      </c>
      <c r="F581">
        <f>IF(Manifest[[#This Row],[Segment]]=E580,F580+1,1)</f>
        <v>11</v>
      </c>
      <c r="G581" t="str">
        <f>"Ros_"&amp;Manifest[[#This Row],[Day]]&amp;"_"&amp;Manifest[[#This Row],[Segment]]&amp;"_"&amp;TEXT(Manifest[[#This Row],[Seq]],"00")</f>
        <v>Ros_Dom_3_11</v>
      </c>
    </row>
    <row r="582" spans="1:7" x14ac:dyDescent="0.25">
      <c r="A582" t="s">
        <v>11</v>
      </c>
      <c r="B582" t="str">
        <f>Manifest[[#This Row],[newID]]</f>
        <v>Ros_Dom_3_12</v>
      </c>
      <c r="C582" t="s">
        <v>4</v>
      </c>
      <c r="D582" t="s">
        <v>71</v>
      </c>
      <c r="E582">
        <v>3</v>
      </c>
      <c r="F582">
        <f>IF(Manifest[[#This Row],[Segment]]=E581,F581+1,1)</f>
        <v>12</v>
      </c>
      <c r="G582" t="str">
        <f>"Ros_"&amp;Manifest[[#This Row],[Day]]&amp;"_"&amp;Manifest[[#This Row],[Segment]]&amp;"_"&amp;TEXT(Manifest[[#This Row],[Seq]],"00")</f>
        <v>Ros_Dom_3_12</v>
      </c>
    </row>
    <row r="583" spans="1:7" x14ac:dyDescent="0.25">
      <c r="A583" t="s">
        <v>12</v>
      </c>
      <c r="B583" t="str">
        <f>Manifest[[#This Row],[newID]]</f>
        <v>Ros_Dom_3_13</v>
      </c>
      <c r="C583" t="s">
        <v>4</v>
      </c>
      <c r="D583" t="s">
        <v>71</v>
      </c>
      <c r="E583">
        <v>3</v>
      </c>
      <c r="F583">
        <f>IF(Manifest[[#This Row],[Segment]]=E582,F582+1,1)</f>
        <v>13</v>
      </c>
      <c r="G583" t="str">
        <f>"Ros_"&amp;Manifest[[#This Row],[Day]]&amp;"_"&amp;Manifest[[#This Row],[Segment]]&amp;"_"&amp;TEXT(Manifest[[#This Row],[Seq]],"00")</f>
        <v>Ros_Dom_3_13</v>
      </c>
    </row>
    <row r="584" spans="1:7" x14ac:dyDescent="0.25">
      <c r="A584" t="s">
        <v>15</v>
      </c>
      <c r="B584" t="str">
        <f>Manifest[[#This Row],[newID]]</f>
        <v>Ros_Dom_3_14</v>
      </c>
      <c r="C584" t="s">
        <v>4</v>
      </c>
      <c r="D584" t="s">
        <v>71</v>
      </c>
      <c r="E584">
        <v>3</v>
      </c>
      <c r="F584">
        <f>IF(Manifest[[#This Row],[Segment]]=E583,F583+1,1)</f>
        <v>14</v>
      </c>
      <c r="G584" t="str">
        <f>"Ros_"&amp;Manifest[[#This Row],[Day]]&amp;"_"&amp;Manifest[[#This Row],[Segment]]&amp;"_"&amp;TEXT(Manifest[[#This Row],[Seq]],"00")</f>
        <v>Ros_Dom_3_14</v>
      </c>
    </row>
    <row r="585" spans="1:7" x14ac:dyDescent="0.25">
      <c r="A585" t="s">
        <v>42</v>
      </c>
      <c r="B585" t="str">
        <f>Manifest[[#This Row],[newID]]</f>
        <v>Ros_Dom_4_01</v>
      </c>
      <c r="C585" t="s">
        <v>4</v>
      </c>
      <c r="D585" t="s">
        <v>71</v>
      </c>
      <c r="E585">
        <v>4</v>
      </c>
      <c r="F585">
        <f>IF(Manifest[[#This Row],[Segment]]=E584,F584+1,1)</f>
        <v>1</v>
      </c>
      <c r="G585" t="str">
        <f>"Ros_"&amp;Manifest[[#This Row],[Day]]&amp;"_"&amp;Manifest[[#This Row],[Segment]]&amp;"_"&amp;TEXT(Manifest[[#This Row],[Seq]],"00")</f>
        <v>Ros_Dom_4_01</v>
      </c>
    </row>
    <row r="586" spans="1:7" x14ac:dyDescent="0.25">
      <c r="A586" t="s">
        <v>10</v>
      </c>
      <c r="B586" t="str">
        <f>Manifest[[#This Row],[newID]]</f>
        <v>Ros_Dom_4_02</v>
      </c>
      <c r="C586" t="s">
        <v>4</v>
      </c>
      <c r="D586" t="s">
        <v>71</v>
      </c>
      <c r="E586">
        <v>4</v>
      </c>
      <c r="F586">
        <f>IF(Manifest[[#This Row],[Segment]]=E585,F585+1,1)</f>
        <v>2</v>
      </c>
      <c r="G586" t="str">
        <f>"Ros_"&amp;Manifest[[#This Row],[Day]]&amp;"_"&amp;Manifest[[#This Row],[Segment]]&amp;"_"&amp;TEXT(Manifest[[#This Row],[Seq]],"00")</f>
        <v>Ros_Dom_4_02</v>
      </c>
    </row>
    <row r="587" spans="1:7" x14ac:dyDescent="0.25">
      <c r="A587" t="s">
        <v>11</v>
      </c>
      <c r="B587" t="str">
        <f>Manifest[[#This Row],[newID]]</f>
        <v>Ros_Dom_4_03</v>
      </c>
      <c r="C587" t="s">
        <v>4</v>
      </c>
      <c r="D587" t="s">
        <v>71</v>
      </c>
      <c r="E587">
        <v>4</v>
      </c>
      <c r="F587">
        <f>IF(Manifest[[#This Row],[Segment]]=E586,F586+1,1)</f>
        <v>3</v>
      </c>
      <c r="G587" t="str">
        <f>"Ros_"&amp;Manifest[[#This Row],[Day]]&amp;"_"&amp;Manifest[[#This Row],[Segment]]&amp;"_"&amp;TEXT(Manifest[[#This Row],[Seq]],"00")</f>
        <v>Ros_Dom_4_03</v>
      </c>
    </row>
    <row r="588" spans="1:7" x14ac:dyDescent="0.25">
      <c r="A588" t="s">
        <v>11</v>
      </c>
      <c r="B588" t="str">
        <f>Manifest[[#This Row],[newID]]</f>
        <v>Ros_Dom_4_04</v>
      </c>
      <c r="C588" t="s">
        <v>4</v>
      </c>
      <c r="D588" t="s">
        <v>71</v>
      </c>
      <c r="E588">
        <v>4</v>
      </c>
      <c r="F588">
        <f>IF(Manifest[[#This Row],[Segment]]=E587,F587+1,1)</f>
        <v>4</v>
      </c>
      <c r="G588" t="str">
        <f>"Ros_"&amp;Manifest[[#This Row],[Day]]&amp;"_"&amp;Manifest[[#This Row],[Segment]]&amp;"_"&amp;TEXT(Manifest[[#This Row],[Seq]],"00")</f>
        <v>Ros_Dom_4_04</v>
      </c>
    </row>
    <row r="589" spans="1:7" x14ac:dyDescent="0.25">
      <c r="A589" t="s">
        <v>11</v>
      </c>
      <c r="B589" t="str">
        <f>Manifest[[#This Row],[newID]]</f>
        <v>Ros_Dom_4_05</v>
      </c>
      <c r="C589" t="s">
        <v>4</v>
      </c>
      <c r="D589" t="s">
        <v>71</v>
      </c>
      <c r="E589">
        <v>4</v>
      </c>
      <c r="F589">
        <f>IF(Manifest[[#This Row],[Segment]]=E588,F588+1,1)</f>
        <v>5</v>
      </c>
      <c r="G589" t="str">
        <f>"Ros_"&amp;Manifest[[#This Row],[Day]]&amp;"_"&amp;Manifest[[#This Row],[Segment]]&amp;"_"&amp;TEXT(Manifest[[#This Row],[Seq]],"00")</f>
        <v>Ros_Dom_4_05</v>
      </c>
    </row>
    <row r="590" spans="1:7" x14ac:dyDescent="0.25">
      <c r="A590" t="s">
        <v>11</v>
      </c>
      <c r="B590" t="str">
        <f>Manifest[[#This Row],[newID]]</f>
        <v>Ros_Dom_4_06</v>
      </c>
      <c r="C590" t="s">
        <v>4</v>
      </c>
      <c r="D590" t="s">
        <v>71</v>
      </c>
      <c r="E590">
        <v>4</v>
      </c>
      <c r="F590">
        <f>IF(Manifest[[#This Row],[Segment]]=E589,F589+1,1)</f>
        <v>6</v>
      </c>
      <c r="G590" t="str">
        <f>"Ros_"&amp;Manifest[[#This Row],[Day]]&amp;"_"&amp;Manifest[[#This Row],[Segment]]&amp;"_"&amp;TEXT(Manifest[[#This Row],[Seq]],"00")</f>
        <v>Ros_Dom_4_06</v>
      </c>
    </row>
    <row r="591" spans="1:7" x14ac:dyDescent="0.25">
      <c r="A591" t="s">
        <v>11</v>
      </c>
      <c r="B591" t="str">
        <f>Manifest[[#This Row],[newID]]</f>
        <v>Ros_Dom_4_07</v>
      </c>
      <c r="C591" t="s">
        <v>4</v>
      </c>
      <c r="D591" t="s">
        <v>71</v>
      </c>
      <c r="E591">
        <v>4</v>
      </c>
      <c r="F591">
        <f>IF(Manifest[[#This Row],[Segment]]=E590,F590+1,1)</f>
        <v>7</v>
      </c>
      <c r="G591" t="str">
        <f>"Ros_"&amp;Manifest[[#This Row],[Day]]&amp;"_"&amp;Manifest[[#This Row],[Segment]]&amp;"_"&amp;TEXT(Manifest[[#This Row],[Seq]],"00")</f>
        <v>Ros_Dom_4_07</v>
      </c>
    </row>
    <row r="592" spans="1:7" x14ac:dyDescent="0.25">
      <c r="A592" t="s">
        <v>11</v>
      </c>
      <c r="B592" t="str">
        <f>Manifest[[#This Row],[newID]]</f>
        <v>Ros_Dom_4_08</v>
      </c>
      <c r="C592" t="s">
        <v>4</v>
      </c>
      <c r="D592" t="s">
        <v>71</v>
      </c>
      <c r="E592">
        <v>4</v>
      </c>
      <c r="F592">
        <f>IF(Manifest[[#This Row],[Segment]]=E591,F591+1,1)</f>
        <v>8</v>
      </c>
      <c r="G592" t="str">
        <f>"Ros_"&amp;Manifest[[#This Row],[Day]]&amp;"_"&amp;Manifest[[#This Row],[Segment]]&amp;"_"&amp;TEXT(Manifest[[#This Row],[Seq]],"00")</f>
        <v>Ros_Dom_4_08</v>
      </c>
    </row>
    <row r="593" spans="1:7" x14ac:dyDescent="0.25">
      <c r="A593" t="s">
        <v>11</v>
      </c>
      <c r="B593" t="str">
        <f>Manifest[[#This Row],[newID]]</f>
        <v>Ros_Dom_4_09</v>
      </c>
      <c r="C593" t="s">
        <v>4</v>
      </c>
      <c r="D593" t="s">
        <v>71</v>
      </c>
      <c r="E593">
        <v>4</v>
      </c>
      <c r="F593">
        <f>IF(Manifest[[#This Row],[Segment]]=E592,F592+1,1)</f>
        <v>9</v>
      </c>
      <c r="G593" t="str">
        <f>"Ros_"&amp;Manifest[[#This Row],[Day]]&amp;"_"&amp;Manifest[[#This Row],[Segment]]&amp;"_"&amp;TEXT(Manifest[[#This Row],[Seq]],"00")</f>
        <v>Ros_Dom_4_09</v>
      </c>
    </row>
    <row r="594" spans="1:7" x14ac:dyDescent="0.25">
      <c r="A594" t="s">
        <v>11</v>
      </c>
      <c r="B594" t="str">
        <f>Manifest[[#This Row],[newID]]</f>
        <v>Ros_Dom_4_10</v>
      </c>
      <c r="C594" t="s">
        <v>4</v>
      </c>
      <c r="D594" t="s">
        <v>71</v>
      </c>
      <c r="E594">
        <v>4</v>
      </c>
      <c r="F594">
        <f>IF(Manifest[[#This Row],[Segment]]=E593,F593+1,1)</f>
        <v>10</v>
      </c>
      <c r="G594" t="str">
        <f>"Ros_"&amp;Manifest[[#This Row],[Day]]&amp;"_"&amp;Manifest[[#This Row],[Segment]]&amp;"_"&amp;TEXT(Manifest[[#This Row],[Seq]],"00")</f>
        <v>Ros_Dom_4_10</v>
      </c>
    </row>
    <row r="595" spans="1:7" x14ac:dyDescent="0.25">
      <c r="A595" t="s">
        <v>11</v>
      </c>
      <c r="B595" t="str">
        <f>Manifest[[#This Row],[newID]]</f>
        <v>Ros_Dom_4_11</v>
      </c>
      <c r="C595" t="s">
        <v>4</v>
      </c>
      <c r="D595" t="s">
        <v>71</v>
      </c>
      <c r="E595">
        <v>4</v>
      </c>
      <c r="F595">
        <f>IF(Manifest[[#This Row],[Segment]]=E594,F594+1,1)</f>
        <v>11</v>
      </c>
      <c r="G595" t="str">
        <f>"Ros_"&amp;Manifest[[#This Row],[Day]]&amp;"_"&amp;Manifest[[#This Row],[Segment]]&amp;"_"&amp;TEXT(Manifest[[#This Row],[Seq]],"00")</f>
        <v>Ros_Dom_4_11</v>
      </c>
    </row>
    <row r="596" spans="1:7" x14ac:dyDescent="0.25">
      <c r="A596" t="s">
        <v>11</v>
      </c>
      <c r="B596" t="str">
        <f>Manifest[[#This Row],[newID]]</f>
        <v>Ros_Dom_4_12</v>
      </c>
      <c r="C596" t="s">
        <v>4</v>
      </c>
      <c r="D596" t="s">
        <v>71</v>
      </c>
      <c r="E596">
        <v>4</v>
      </c>
      <c r="F596">
        <f>IF(Manifest[[#This Row],[Segment]]=E595,F595+1,1)</f>
        <v>12</v>
      </c>
      <c r="G596" t="str">
        <f>"Ros_"&amp;Manifest[[#This Row],[Day]]&amp;"_"&amp;Manifest[[#This Row],[Segment]]&amp;"_"&amp;TEXT(Manifest[[#This Row],[Seq]],"00")</f>
        <v>Ros_Dom_4_12</v>
      </c>
    </row>
    <row r="597" spans="1:7" x14ac:dyDescent="0.25">
      <c r="A597" t="s">
        <v>12</v>
      </c>
      <c r="B597" t="str">
        <f>Manifest[[#This Row],[newID]]</f>
        <v>Ros_Dom_4_13</v>
      </c>
      <c r="C597" t="s">
        <v>4</v>
      </c>
      <c r="D597" t="s">
        <v>71</v>
      </c>
      <c r="E597">
        <v>4</v>
      </c>
      <c r="F597">
        <f>IF(Manifest[[#This Row],[Segment]]=E596,F596+1,1)</f>
        <v>13</v>
      </c>
      <c r="G597" t="str">
        <f>"Ros_"&amp;Manifest[[#This Row],[Day]]&amp;"_"&amp;Manifest[[#This Row],[Segment]]&amp;"_"&amp;TEXT(Manifest[[#This Row],[Seq]],"00")</f>
        <v>Ros_Dom_4_13</v>
      </c>
    </row>
    <row r="598" spans="1:7" x14ac:dyDescent="0.25">
      <c r="A598" t="s">
        <v>15</v>
      </c>
      <c r="B598" t="str">
        <f>Manifest[[#This Row],[newID]]</f>
        <v>Ros_Dom_4_14</v>
      </c>
      <c r="C598" t="s">
        <v>4</v>
      </c>
      <c r="D598" t="s">
        <v>71</v>
      </c>
      <c r="E598">
        <v>4</v>
      </c>
      <c r="F598">
        <f>IF(Manifest[[#This Row],[Segment]]=E597,F597+1,1)</f>
        <v>14</v>
      </c>
      <c r="G598" t="str">
        <f>"Ros_"&amp;Manifest[[#This Row],[Day]]&amp;"_"&amp;Manifest[[#This Row],[Segment]]&amp;"_"&amp;TEXT(Manifest[[#This Row],[Seq]],"00")</f>
        <v>Ros_Dom_4_14</v>
      </c>
    </row>
    <row r="599" spans="1:7" x14ac:dyDescent="0.25">
      <c r="A599" t="s">
        <v>43</v>
      </c>
      <c r="B599" t="str">
        <f>Manifest[[#This Row],[newID]]</f>
        <v>Ros_Dom_5_01</v>
      </c>
      <c r="C599" t="s">
        <v>4</v>
      </c>
      <c r="D599" t="s">
        <v>71</v>
      </c>
      <c r="E599">
        <v>5</v>
      </c>
      <c r="F599">
        <f>IF(Manifest[[#This Row],[Segment]]=E598,F598+1,1)</f>
        <v>1</v>
      </c>
      <c r="G599" t="str">
        <f>"Ros_"&amp;Manifest[[#This Row],[Day]]&amp;"_"&amp;Manifest[[#This Row],[Segment]]&amp;"_"&amp;TEXT(Manifest[[#This Row],[Seq]],"00")</f>
        <v>Ros_Dom_5_01</v>
      </c>
    </row>
    <row r="600" spans="1:7" x14ac:dyDescent="0.25">
      <c r="A600" t="s">
        <v>10</v>
      </c>
      <c r="B600" t="str">
        <f>Manifest[[#This Row],[newID]]</f>
        <v>Ros_Dom_5_02</v>
      </c>
      <c r="C600" t="s">
        <v>4</v>
      </c>
      <c r="D600" t="s">
        <v>71</v>
      </c>
      <c r="E600">
        <v>5</v>
      </c>
      <c r="F600">
        <f>IF(Manifest[[#This Row],[Segment]]=E599,F599+1,1)</f>
        <v>2</v>
      </c>
      <c r="G600" t="str">
        <f>"Ros_"&amp;Manifest[[#This Row],[Day]]&amp;"_"&amp;Manifest[[#This Row],[Segment]]&amp;"_"&amp;TEXT(Manifest[[#This Row],[Seq]],"00")</f>
        <v>Ros_Dom_5_02</v>
      </c>
    </row>
    <row r="601" spans="1:7" x14ac:dyDescent="0.25">
      <c r="A601" t="s">
        <v>11</v>
      </c>
      <c r="B601" t="str">
        <f>Manifest[[#This Row],[newID]]</f>
        <v>Ros_Dom_5_03</v>
      </c>
      <c r="C601" t="s">
        <v>4</v>
      </c>
      <c r="D601" t="s">
        <v>71</v>
      </c>
      <c r="E601">
        <v>5</v>
      </c>
      <c r="F601">
        <f>IF(Manifest[[#This Row],[Segment]]=E600,F600+1,1)</f>
        <v>3</v>
      </c>
      <c r="G601" t="str">
        <f>"Ros_"&amp;Manifest[[#This Row],[Day]]&amp;"_"&amp;Manifest[[#This Row],[Segment]]&amp;"_"&amp;TEXT(Manifest[[#This Row],[Seq]],"00")</f>
        <v>Ros_Dom_5_03</v>
      </c>
    </row>
    <row r="602" spans="1:7" x14ac:dyDescent="0.25">
      <c r="A602" t="s">
        <v>11</v>
      </c>
      <c r="B602" t="str">
        <f>Manifest[[#This Row],[newID]]</f>
        <v>Ros_Dom_5_04</v>
      </c>
      <c r="C602" t="s">
        <v>4</v>
      </c>
      <c r="D602" t="s">
        <v>71</v>
      </c>
      <c r="E602">
        <v>5</v>
      </c>
      <c r="F602">
        <f>IF(Manifest[[#This Row],[Segment]]=E601,F601+1,1)</f>
        <v>4</v>
      </c>
      <c r="G602" t="str">
        <f>"Ros_"&amp;Manifest[[#This Row],[Day]]&amp;"_"&amp;Manifest[[#This Row],[Segment]]&amp;"_"&amp;TEXT(Manifest[[#This Row],[Seq]],"00")</f>
        <v>Ros_Dom_5_04</v>
      </c>
    </row>
    <row r="603" spans="1:7" x14ac:dyDescent="0.25">
      <c r="A603" t="s">
        <v>11</v>
      </c>
      <c r="B603" t="str">
        <f>Manifest[[#This Row],[newID]]</f>
        <v>Ros_Dom_5_05</v>
      </c>
      <c r="C603" t="s">
        <v>4</v>
      </c>
      <c r="D603" t="s">
        <v>71</v>
      </c>
      <c r="E603">
        <v>5</v>
      </c>
      <c r="F603">
        <f>IF(Manifest[[#This Row],[Segment]]=E602,F602+1,1)</f>
        <v>5</v>
      </c>
      <c r="G603" t="str">
        <f>"Ros_"&amp;Manifest[[#This Row],[Day]]&amp;"_"&amp;Manifest[[#This Row],[Segment]]&amp;"_"&amp;TEXT(Manifest[[#This Row],[Seq]],"00")</f>
        <v>Ros_Dom_5_05</v>
      </c>
    </row>
    <row r="604" spans="1:7" x14ac:dyDescent="0.25">
      <c r="A604" t="s">
        <v>11</v>
      </c>
      <c r="B604" t="str">
        <f>Manifest[[#This Row],[newID]]</f>
        <v>Ros_Dom_5_06</v>
      </c>
      <c r="C604" t="s">
        <v>4</v>
      </c>
      <c r="D604" t="s">
        <v>71</v>
      </c>
      <c r="E604">
        <v>5</v>
      </c>
      <c r="F604">
        <f>IF(Manifest[[#This Row],[Segment]]=E603,F603+1,1)</f>
        <v>6</v>
      </c>
      <c r="G604" t="str">
        <f>"Ros_"&amp;Manifest[[#This Row],[Day]]&amp;"_"&amp;Manifest[[#This Row],[Segment]]&amp;"_"&amp;TEXT(Manifest[[#This Row],[Seq]],"00")</f>
        <v>Ros_Dom_5_06</v>
      </c>
    </row>
    <row r="605" spans="1:7" x14ac:dyDescent="0.25">
      <c r="A605" t="s">
        <v>11</v>
      </c>
      <c r="B605" t="str">
        <f>Manifest[[#This Row],[newID]]</f>
        <v>Ros_Dom_5_07</v>
      </c>
      <c r="C605" t="s">
        <v>4</v>
      </c>
      <c r="D605" t="s">
        <v>71</v>
      </c>
      <c r="E605">
        <v>5</v>
      </c>
      <c r="F605">
        <f>IF(Manifest[[#This Row],[Segment]]=E604,F604+1,1)</f>
        <v>7</v>
      </c>
      <c r="G605" t="str">
        <f>"Ros_"&amp;Manifest[[#This Row],[Day]]&amp;"_"&amp;Manifest[[#This Row],[Segment]]&amp;"_"&amp;TEXT(Manifest[[#This Row],[Seq]],"00")</f>
        <v>Ros_Dom_5_07</v>
      </c>
    </row>
    <row r="606" spans="1:7" x14ac:dyDescent="0.25">
      <c r="A606" t="s">
        <v>11</v>
      </c>
      <c r="B606" t="str">
        <f>Manifest[[#This Row],[newID]]</f>
        <v>Ros_Dom_5_08</v>
      </c>
      <c r="C606" t="s">
        <v>4</v>
      </c>
      <c r="D606" t="s">
        <v>71</v>
      </c>
      <c r="E606">
        <v>5</v>
      </c>
      <c r="F606">
        <f>IF(Manifest[[#This Row],[Segment]]=E605,F605+1,1)</f>
        <v>8</v>
      </c>
      <c r="G606" t="str">
        <f>"Ros_"&amp;Manifest[[#This Row],[Day]]&amp;"_"&amp;Manifest[[#This Row],[Segment]]&amp;"_"&amp;TEXT(Manifest[[#This Row],[Seq]],"00")</f>
        <v>Ros_Dom_5_08</v>
      </c>
    </row>
    <row r="607" spans="1:7" x14ac:dyDescent="0.25">
      <c r="A607" t="s">
        <v>11</v>
      </c>
      <c r="B607" t="str">
        <f>Manifest[[#This Row],[newID]]</f>
        <v>Ros_Dom_5_09</v>
      </c>
      <c r="C607" t="s">
        <v>4</v>
      </c>
      <c r="D607" t="s">
        <v>71</v>
      </c>
      <c r="E607">
        <v>5</v>
      </c>
      <c r="F607">
        <f>IF(Manifest[[#This Row],[Segment]]=E606,F606+1,1)</f>
        <v>9</v>
      </c>
      <c r="G607" t="str">
        <f>"Ros_"&amp;Manifest[[#This Row],[Day]]&amp;"_"&amp;Manifest[[#This Row],[Segment]]&amp;"_"&amp;TEXT(Manifest[[#This Row],[Seq]],"00")</f>
        <v>Ros_Dom_5_09</v>
      </c>
    </row>
    <row r="608" spans="1:7" x14ac:dyDescent="0.25">
      <c r="A608" t="s">
        <v>11</v>
      </c>
      <c r="B608" t="str">
        <f>Manifest[[#This Row],[newID]]</f>
        <v>Ros_Dom_5_10</v>
      </c>
      <c r="C608" t="s">
        <v>4</v>
      </c>
      <c r="D608" t="s">
        <v>71</v>
      </c>
      <c r="E608">
        <v>5</v>
      </c>
      <c r="F608">
        <f>IF(Manifest[[#This Row],[Segment]]=E607,F607+1,1)</f>
        <v>10</v>
      </c>
      <c r="G608" t="str">
        <f>"Ros_"&amp;Manifest[[#This Row],[Day]]&amp;"_"&amp;Manifest[[#This Row],[Segment]]&amp;"_"&amp;TEXT(Manifest[[#This Row],[Seq]],"00")</f>
        <v>Ros_Dom_5_10</v>
      </c>
    </row>
    <row r="609" spans="1:7" x14ac:dyDescent="0.25">
      <c r="A609" t="s">
        <v>11</v>
      </c>
      <c r="B609" t="str">
        <f>Manifest[[#This Row],[newID]]</f>
        <v>Ros_Dom_5_11</v>
      </c>
      <c r="C609" t="s">
        <v>4</v>
      </c>
      <c r="D609" t="s">
        <v>71</v>
      </c>
      <c r="E609">
        <v>5</v>
      </c>
      <c r="F609">
        <f>IF(Manifest[[#This Row],[Segment]]=E608,F608+1,1)</f>
        <v>11</v>
      </c>
      <c r="G609" t="str">
        <f>"Ros_"&amp;Manifest[[#This Row],[Day]]&amp;"_"&amp;Manifest[[#This Row],[Segment]]&amp;"_"&amp;TEXT(Manifest[[#This Row],[Seq]],"00")</f>
        <v>Ros_Dom_5_11</v>
      </c>
    </row>
    <row r="610" spans="1:7" x14ac:dyDescent="0.25">
      <c r="A610" t="s">
        <v>11</v>
      </c>
      <c r="B610" t="str">
        <f>Manifest[[#This Row],[newID]]</f>
        <v>Ros_Dom_5_12</v>
      </c>
      <c r="C610" t="s">
        <v>4</v>
      </c>
      <c r="D610" t="s">
        <v>71</v>
      </c>
      <c r="E610">
        <v>5</v>
      </c>
      <c r="F610">
        <f>IF(Manifest[[#This Row],[Segment]]=E609,F609+1,1)</f>
        <v>12</v>
      </c>
      <c r="G610" t="str">
        <f>"Ros_"&amp;Manifest[[#This Row],[Day]]&amp;"_"&amp;Manifest[[#This Row],[Segment]]&amp;"_"&amp;TEXT(Manifest[[#This Row],[Seq]],"00")</f>
        <v>Ros_Dom_5_12</v>
      </c>
    </row>
    <row r="611" spans="1:7" x14ac:dyDescent="0.25">
      <c r="A611" t="s">
        <v>12</v>
      </c>
      <c r="B611" t="str">
        <f>Manifest[[#This Row],[newID]]</f>
        <v>Ros_Dom_5_13</v>
      </c>
      <c r="C611" t="s">
        <v>4</v>
      </c>
      <c r="D611" t="s">
        <v>71</v>
      </c>
      <c r="E611">
        <v>5</v>
      </c>
      <c r="F611">
        <f>IF(Manifest[[#This Row],[Segment]]=E610,F610+1,1)</f>
        <v>13</v>
      </c>
      <c r="G611" t="str">
        <f>"Ros_"&amp;Manifest[[#This Row],[Day]]&amp;"_"&amp;Manifest[[#This Row],[Segment]]&amp;"_"&amp;TEXT(Manifest[[#This Row],[Seq]],"00")</f>
        <v>Ros_Dom_5_13</v>
      </c>
    </row>
    <row r="612" spans="1:7" x14ac:dyDescent="0.25">
      <c r="A612" t="s">
        <v>15</v>
      </c>
      <c r="B612" t="str">
        <f>Manifest[[#This Row],[newID]]</f>
        <v>Ros_Dom_5_14</v>
      </c>
      <c r="C612" t="s">
        <v>4</v>
      </c>
      <c r="D612" t="s">
        <v>71</v>
      </c>
      <c r="E612">
        <v>5</v>
      </c>
      <c r="F612">
        <f>IF(Manifest[[#This Row],[Segment]]=E611,F611+1,1)</f>
        <v>14</v>
      </c>
      <c r="G612" t="str">
        <f>"Ros_"&amp;Manifest[[#This Row],[Day]]&amp;"_"&amp;Manifest[[#This Row],[Segment]]&amp;"_"&amp;TEXT(Manifest[[#This Row],[Seq]],"00")</f>
        <v>Ros_Dom_5_14</v>
      </c>
    </row>
    <row r="613" spans="1:7" x14ac:dyDescent="0.25">
      <c r="A613" t="s">
        <v>20</v>
      </c>
      <c r="B613" t="str">
        <f>Manifest[[#This Row],[newID]]</f>
        <v>Ros_Dom_6_01</v>
      </c>
      <c r="C613" t="s">
        <v>4</v>
      </c>
      <c r="D613" t="s">
        <v>71</v>
      </c>
      <c r="E613">
        <v>6</v>
      </c>
      <c r="F613">
        <f>IF(Manifest[[#This Row],[Segment]]=E612,F612+1,1)</f>
        <v>1</v>
      </c>
      <c r="G613" t="str">
        <f>"Ros_"&amp;Manifest[[#This Row],[Day]]&amp;"_"&amp;Manifest[[#This Row],[Segment]]&amp;"_"&amp;TEXT(Manifest[[#This Row],[Seq]],"00")</f>
        <v>Ros_Dom_6_01</v>
      </c>
    </row>
    <row r="614" spans="1:7" x14ac:dyDescent="0.25">
      <c r="A614" t="s">
        <v>21</v>
      </c>
      <c r="B614" t="str">
        <f>Manifest[[#This Row],[newID]]</f>
        <v>Ros_Dom_6_02</v>
      </c>
      <c r="C614" t="s">
        <v>4</v>
      </c>
      <c r="D614" t="s">
        <v>71</v>
      </c>
      <c r="E614">
        <v>6</v>
      </c>
      <c r="F614">
        <f>IF(Manifest[[#This Row],[Segment]]=E613,F613+1,1)</f>
        <v>2</v>
      </c>
      <c r="G614" t="str">
        <f>"Ros_"&amp;Manifest[[#This Row],[Day]]&amp;"_"&amp;Manifest[[#This Row],[Segment]]&amp;"_"&amp;TEXT(Manifest[[#This Row],[Seq]],"00")</f>
        <v>Ros_Dom_6_02</v>
      </c>
    </row>
    <row r="615" spans="1:7" x14ac:dyDescent="0.25">
      <c r="A615" t="s">
        <v>22</v>
      </c>
      <c r="B615" t="str">
        <f>Manifest[[#This Row],[newID]]</f>
        <v>Ros_Dom_6_03</v>
      </c>
      <c r="C615" t="s">
        <v>4</v>
      </c>
      <c r="D615" t="s">
        <v>71</v>
      </c>
      <c r="E615">
        <v>6</v>
      </c>
      <c r="F615">
        <f>IF(Manifest[[#This Row],[Segment]]=E614,F614+1,1)</f>
        <v>3</v>
      </c>
      <c r="G615" t="str">
        <f>"Ros_"&amp;Manifest[[#This Row],[Day]]&amp;"_"&amp;Manifest[[#This Row],[Segment]]&amp;"_"&amp;TEXT(Manifest[[#This Row],[Seq]],"00")</f>
        <v>Ros_Dom_6_03</v>
      </c>
    </row>
    <row r="616" spans="1:7" x14ac:dyDescent="0.25">
      <c r="A616" t="s">
        <v>23</v>
      </c>
      <c r="B616" t="str">
        <f>Manifest[[#This Row],[newID]]</f>
        <v>Ros_Dom_6_04</v>
      </c>
      <c r="C616" t="s">
        <v>4</v>
      </c>
      <c r="D616" t="s">
        <v>71</v>
      </c>
      <c r="E616">
        <v>6</v>
      </c>
      <c r="F616">
        <f>IF(Manifest[[#This Row],[Segment]]=E615,F615+1,1)</f>
        <v>4</v>
      </c>
      <c r="G616" t="str">
        <f>"Ros_"&amp;Manifest[[#This Row],[Day]]&amp;"_"&amp;Manifest[[#This Row],[Segment]]&amp;"_"&amp;TEXT(Manifest[[#This Row],[Seq]],"00")</f>
        <v>Ros_Dom_6_04</v>
      </c>
    </row>
    <row r="617" spans="1:7" x14ac:dyDescent="0.25">
      <c r="A617" t="s">
        <v>24</v>
      </c>
      <c r="B617" t="str">
        <f>Manifest[[#This Row],[newID]]</f>
        <v>Ros_Dom_6_05</v>
      </c>
      <c r="C617" t="s">
        <v>4</v>
      </c>
      <c r="D617" t="s">
        <v>71</v>
      </c>
      <c r="E617">
        <v>6</v>
      </c>
      <c r="F617">
        <f>IF(Manifest[[#This Row],[Segment]]=E616,F616+1,1)</f>
        <v>5</v>
      </c>
      <c r="G617" t="str">
        <f>"Ros_"&amp;Manifest[[#This Row],[Day]]&amp;"_"&amp;Manifest[[#This Row],[Segment]]&amp;"_"&amp;TEXT(Manifest[[#This Row],[Seq]],"00")</f>
        <v>Ros_Dom_6_05</v>
      </c>
    </row>
    <row r="618" spans="1:7" x14ac:dyDescent="0.25">
      <c r="A618" t="s">
        <v>25</v>
      </c>
      <c r="B618" t="str">
        <f>Manifest[[#This Row],[newID]]</f>
        <v>Ros_Dom_6_06</v>
      </c>
      <c r="C618" t="s">
        <v>4</v>
      </c>
      <c r="D618" t="s">
        <v>71</v>
      </c>
      <c r="E618">
        <v>6</v>
      </c>
      <c r="F618">
        <f>IF(Manifest[[#This Row],[Segment]]=E617,F617+1,1)</f>
        <v>6</v>
      </c>
      <c r="G618" t="str">
        <f>"Ros_"&amp;Manifest[[#This Row],[Day]]&amp;"_"&amp;Manifest[[#This Row],[Segment]]&amp;"_"&amp;TEXT(Manifest[[#This Row],[Seq]],"00")</f>
        <v>Ros_Dom_6_06</v>
      </c>
    </row>
    <row r="619" spans="1:7" x14ac:dyDescent="0.25">
      <c r="A619" t="s">
        <v>26</v>
      </c>
      <c r="B619" t="str">
        <f>Manifest[[#This Row],[newID]]</f>
        <v>Ros_Dom_6_07</v>
      </c>
      <c r="C619" t="s">
        <v>4</v>
      </c>
      <c r="D619" t="s">
        <v>71</v>
      </c>
      <c r="E619">
        <v>6</v>
      </c>
      <c r="F619">
        <f>IF(Manifest[[#This Row],[Segment]]=E618,F618+1,1)</f>
        <v>7</v>
      </c>
      <c r="G619" t="str">
        <f>"Ros_"&amp;Manifest[[#This Row],[Day]]&amp;"_"&amp;Manifest[[#This Row],[Segment]]&amp;"_"&amp;TEXT(Manifest[[#This Row],[Seq]],"00")</f>
        <v>Ros_Dom_6_07</v>
      </c>
    </row>
    <row r="620" spans="1:7" x14ac:dyDescent="0.25">
      <c r="A620" t="s">
        <v>27</v>
      </c>
      <c r="B620" t="str">
        <f>Manifest[[#This Row],[newID]]</f>
        <v>Ros_Dom_6_08</v>
      </c>
      <c r="C620" t="s">
        <v>4</v>
      </c>
      <c r="D620" t="s">
        <v>71</v>
      </c>
      <c r="E620">
        <v>6</v>
      </c>
      <c r="F620">
        <f>IF(Manifest[[#This Row],[Segment]]=E619,F619+1,1)</f>
        <v>8</v>
      </c>
      <c r="G620" t="str">
        <f>"Ros_"&amp;Manifest[[#This Row],[Day]]&amp;"_"&amp;Manifest[[#This Row],[Segment]]&amp;"_"&amp;TEXT(Manifest[[#This Row],[Seq]],"00")</f>
        <v>Ros_Dom_6_08</v>
      </c>
    </row>
    <row r="621" spans="1:7" x14ac:dyDescent="0.25">
      <c r="A621" t="s">
        <v>28</v>
      </c>
      <c r="B621" t="str">
        <f>Manifest[[#This Row],[newID]]</f>
        <v>Ros_Dom_6_09</v>
      </c>
      <c r="C621" t="s">
        <v>4</v>
      </c>
      <c r="D621" t="s">
        <v>71</v>
      </c>
      <c r="E621">
        <v>6</v>
      </c>
      <c r="F621">
        <f>IF(Manifest[[#This Row],[Segment]]=E620,F620+1,1)</f>
        <v>9</v>
      </c>
      <c r="G621" t="str">
        <f>"Ros_"&amp;Manifest[[#This Row],[Day]]&amp;"_"&amp;Manifest[[#This Row],[Segment]]&amp;"_"&amp;TEXT(Manifest[[#This Row],[Seq]],"00")</f>
        <v>Ros_Dom_6_09</v>
      </c>
    </row>
    <row r="622" spans="1:7" x14ac:dyDescent="0.25">
      <c r="A622" t="s">
        <v>29</v>
      </c>
      <c r="B622" t="str">
        <f>Manifest[[#This Row],[newID]]</f>
        <v>Ros_Dom_6_10</v>
      </c>
      <c r="C622" t="s">
        <v>4</v>
      </c>
      <c r="D622" t="s">
        <v>71</v>
      </c>
      <c r="E622">
        <v>6</v>
      </c>
      <c r="F622">
        <f>IF(Manifest[[#This Row],[Segment]]=E621,F621+1,1)</f>
        <v>10</v>
      </c>
      <c r="G622" t="str">
        <f>"Ros_"&amp;Manifest[[#This Row],[Day]]&amp;"_"&amp;Manifest[[#This Row],[Segment]]&amp;"_"&amp;TEXT(Manifest[[#This Row],[Seq]],"00")</f>
        <v>Ros_Dom_6_10</v>
      </c>
    </row>
    <row r="623" spans="1:7" x14ac:dyDescent="0.25">
      <c r="A623" t="s">
        <v>30</v>
      </c>
      <c r="B623" t="str">
        <f>Manifest[[#This Row],[newID]]</f>
        <v>Ros_Dom_6_11</v>
      </c>
      <c r="C623" t="s">
        <v>4</v>
      </c>
      <c r="D623" t="s">
        <v>71</v>
      </c>
      <c r="E623">
        <v>6</v>
      </c>
      <c r="F623">
        <f>IF(Manifest[[#This Row],[Segment]]=E622,F622+1,1)</f>
        <v>11</v>
      </c>
      <c r="G623" t="str">
        <f>"Ros_"&amp;Manifest[[#This Row],[Day]]&amp;"_"&amp;Manifest[[#This Row],[Segment]]&amp;"_"&amp;TEXT(Manifest[[#This Row],[Seq]],"00")</f>
        <v>Ros_Dom_6_11</v>
      </c>
    </row>
    <row r="624" spans="1:7" x14ac:dyDescent="0.25">
      <c r="A624" t="s">
        <v>31</v>
      </c>
      <c r="B624" t="str">
        <f>Manifest[[#This Row],[newID]]</f>
        <v>Ros_Dom_6_12</v>
      </c>
      <c r="C624" t="s">
        <v>4</v>
      </c>
      <c r="D624" t="s">
        <v>71</v>
      </c>
      <c r="E624">
        <v>6</v>
      </c>
      <c r="F624">
        <f>IF(Manifest[[#This Row],[Segment]]=E623,F623+1,1)</f>
        <v>12</v>
      </c>
      <c r="G624" t="str">
        <f>"Ros_"&amp;Manifest[[#This Row],[Day]]&amp;"_"&amp;Manifest[[#This Row],[Segment]]&amp;"_"&amp;TEXT(Manifest[[#This Row],[Seq]],"00")</f>
        <v>Ros_Dom_6_12</v>
      </c>
    </row>
    <row r="625" spans="1:7" x14ac:dyDescent="0.25">
      <c r="A625" t="s">
        <v>11</v>
      </c>
      <c r="B625" t="str">
        <f>Manifest[[#This Row],[newID]]</f>
        <v>Ros_r_s_01</v>
      </c>
      <c r="C625" t="s">
        <v>4</v>
      </c>
      <c r="D625" t="s">
        <v>68</v>
      </c>
      <c r="E625" t="s">
        <v>69</v>
      </c>
      <c r="F625">
        <f>IF(Manifest[[#This Row],[Segment]]=E624,F624+1,1)</f>
        <v>1</v>
      </c>
      <c r="G625" t="str">
        <f>"Ros_"&amp;Manifest[[#This Row],[Day]]&amp;"_"&amp;Manifest[[#This Row],[Segment]]&amp;"_"&amp;TEXT(Manifest[[#This Row],[Seq]],"00")</f>
        <v>Ros_r_s_01</v>
      </c>
    </row>
    <row r="626" spans="1:7" x14ac:dyDescent="0.25">
      <c r="A626" t="s">
        <v>12</v>
      </c>
      <c r="B626" t="str">
        <f>Manifest[[#This Row],[newID]]</f>
        <v>Ros_r_s_02</v>
      </c>
      <c r="C626" t="s">
        <v>4</v>
      </c>
      <c r="D626" t="s">
        <v>68</v>
      </c>
      <c r="E626" t="s">
        <v>69</v>
      </c>
      <c r="F626">
        <f>IF(Manifest[[#This Row],[Segment]]=E625,F625+1,1)</f>
        <v>2</v>
      </c>
      <c r="G626" t="str">
        <f>"Ros_"&amp;Manifest[[#This Row],[Day]]&amp;"_"&amp;Manifest[[#This Row],[Segment]]&amp;"_"&amp;TEXT(Manifest[[#This Row],[Seq]],"00")</f>
        <v>Ros_r_s_02</v>
      </c>
    </row>
    <row r="627" spans="1:7" x14ac:dyDescent="0.25">
      <c r="A627" t="s">
        <v>15</v>
      </c>
      <c r="B627" t="str">
        <f>Manifest[[#This Row],[newID]]</f>
        <v>Ros_r_s_03</v>
      </c>
      <c r="C627" t="s">
        <v>4</v>
      </c>
      <c r="D627" t="s">
        <v>68</v>
      </c>
      <c r="E627" t="s">
        <v>69</v>
      </c>
      <c r="F627">
        <f>IF(Manifest[[#This Row],[Segment]]=E626,F626+1,1)</f>
        <v>3</v>
      </c>
      <c r="G627" t="str">
        <f>"Ros_"&amp;Manifest[[#This Row],[Day]]&amp;"_"&amp;Manifest[[#This Row],[Segment]]&amp;"_"&amp;TEXT(Manifest[[#This Row],[Seq]],"00")</f>
        <v>Ros_r_s_03</v>
      </c>
    </row>
    <row r="628" spans="1:7" x14ac:dyDescent="0.25">
      <c r="A628" t="s">
        <v>20</v>
      </c>
      <c r="B628" t="str">
        <f>Manifest[[#This Row],[newID]]</f>
        <v>Ros_r_s_04</v>
      </c>
      <c r="C628" t="s">
        <v>4</v>
      </c>
      <c r="D628" t="s">
        <v>68</v>
      </c>
      <c r="E628" t="s">
        <v>69</v>
      </c>
      <c r="F628">
        <f>IF(Manifest[[#This Row],[Segment]]=E627,F627+1,1)</f>
        <v>4</v>
      </c>
      <c r="G628" t="str">
        <f>"Ros_"&amp;Manifest[[#This Row],[Day]]&amp;"_"&amp;Manifest[[#This Row],[Segment]]&amp;"_"&amp;TEXT(Manifest[[#This Row],[Seq]],"00")</f>
        <v>Ros_r_s_04</v>
      </c>
    </row>
    <row r="629" spans="1:7" x14ac:dyDescent="0.25">
      <c r="A629" t="s">
        <v>21</v>
      </c>
      <c r="B629" t="str">
        <f>Manifest[[#This Row],[newID]]</f>
        <v>Ros_r_s_05</v>
      </c>
      <c r="C629" t="s">
        <v>4</v>
      </c>
      <c r="D629" t="s">
        <v>68</v>
      </c>
      <c r="E629" t="s">
        <v>69</v>
      </c>
      <c r="F629">
        <f>IF(Manifest[[#This Row],[Segment]]=E628,F628+1,1)</f>
        <v>5</v>
      </c>
      <c r="G629" t="str">
        <f>"Ros_"&amp;Manifest[[#This Row],[Day]]&amp;"_"&amp;Manifest[[#This Row],[Segment]]&amp;"_"&amp;TEXT(Manifest[[#This Row],[Seq]],"00")</f>
        <v>Ros_r_s_05</v>
      </c>
    </row>
    <row r="630" spans="1:7" x14ac:dyDescent="0.25">
      <c r="A630" t="s">
        <v>22</v>
      </c>
      <c r="B630" t="str">
        <f>Manifest[[#This Row],[newID]]</f>
        <v>Ros_r_s_06</v>
      </c>
      <c r="C630" t="s">
        <v>4</v>
      </c>
      <c r="D630" t="s">
        <v>68</v>
      </c>
      <c r="E630" t="s">
        <v>69</v>
      </c>
      <c r="F630">
        <f>IF(Manifest[[#This Row],[Segment]]=E629,F629+1,1)</f>
        <v>6</v>
      </c>
      <c r="G630" t="str">
        <f>"Ros_"&amp;Manifest[[#This Row],[Day]]&amp;"_"&amp;Manifest[[#This Row],[Segment]]&amp;"_"&amp;TEXT(Manifest[[#This Row],[Seq]],"00")</f>
        <v>Ros_r_s_06</v>
      </c>
    </row>
    <row r="631" spans="1:7" x14ac:dyDescent="0.25">
      <c r="A631" t="s">
        <v>23</v>
      </c>
      <c r="B631" t="str">
        <f>Manifest[[#This Row],[newID]]</f>
        <v>Ros_r_s_07</v>
      </c>
      <c r="C631" t="s">
        <v>4</v>
      </c>
      <c r="D631" t="s">
        <v>68</v>
      </c>
      <c r="E631" t="s">
        <v>69</v>
      </c>
      <c r="F631">
        <f>IF(Manifest[[#This Row],[Segment]]=E630,F630+1,1)</f>
        <v>7</v>
      </c>
      <c r="G631" t="str">
        <f>"Ros_"&amp;Manifest[[#This Row],[Day]]&amp;"_"&amp;Manifest[[#This Row],[Segment]]&amp;"_"&amp;TEXT(Manifest[[#This Row],[Seq]],"00")</f>
        <v>Ros_r_s_07</v>
      </c>
    </row>
    <row r="632" spans="1:7" x14ac:dyDescent="0.25">
      <c r="A632" t="s">
        <v>24</v>
      </c>
      <c r="B632" t="str">
        <f>Manifest[[#This Row],[newID]]</f>
        <v>Ros_r_s_08</v>
      </c>
      <c r="C632" t="s">
        <v>4</v>
      </c>
      <c r="D632" t="s">
        <v>68</v>
      </c>
      <c r="E632" t="s">
        <v>69</v>
      </c>
      <c r="F632">
        <f>IF(Manifest[[#This Row],[Segment]]=E631,F631+1,1)</f>
        <v>8</v>
      </c>
      <c r="G632" t="str">
        <f>"Ros_"&amp;Manifest[[#This Row],[Day]]&amp;"_"&amp;Manifest[[#This Row],[Segment]]&amp;"_"&amp;TEXT(Manifest[[#This Row],[Seq]],"00")</f>
        <v>Ros_r_s_08</v>
      </c>
    </row>
    <row r="633" spans="1:7" x14ac:dyDescent="0.25">
      <c r="A633" t="s">
        <v>25</v>
      </c>
      <c r="B633" t="str">
        <f>Manifest[[#This Row],[newID]]</f>
        <v>Ros_r_s_09</v>
      </c>
      <c r="C633" t="s">
        <v>4</v>
      </c>
      <c r="D633" t="s">
        <v>68</v>
      </c>
      <c r="E633" t="s">
        <v>69</v>
      </c>
      <c r="F633">
        <f>IF(Manifest[[#This Row],[Segment]]=E632,F632+1,1)</f>
        <v>9</v>
      </c>
      <c r="G633" t="str">
        <f>"Ros_"&amp;Manifest[[#This Row],[Day]]&amp;"_"&amp;Manifest[[#This Row],[Segment]]&amp;"_"&amp;TEXT(Manifest[[#This Row],[Seq]],"00")</f>
        <v>Ros_r_s_09</v>
      </c>
    </row>
    <row r="634" spans="1:7" x14ac:dyDescent="0.25">
      <c r="A634" t="s">
        <v>26</v>
      </c>
      <c r="B634" t="str">
        <f>Manifest[[#This Row],[newID]]</f>
        <v>Ros_r_s_10</v>
      </c>
      <c r="C634" t="s">
        <v>4</v>
      </c>
      <c r="D634" t="s">
        <v>68</v>
      </c>
      <c r="E634" t="s">
        <v>69</v>
      </c>
      <c r="F634">
        <f>IF(Manifest[[#This Row],[Segment]]=E633,F633+1,1)</f>
        <v>10</v>
      </c>
      <c r="G634" t="str">
        <f>"Ros_"&amp;Manifest[[#This Row],[Day]]&amp;"_"&amp;Manifest[[#This Row],[Segment]]&amp;"_"&amp;TEXT(Manifest[[#This Row],[Seq]],"00")</f>
        <v>Ros_r_s_10</v>
      </c>
    </row>
    <row r="635" spans="1:7" x14ac:dyDescent="0.25">
      <c r="A635" t="s">
        <v>27</v>
      </c>
      <c r="B635" t="str">
        <f>Manifest[[#This Row],[newID]]</f>
        <v>Ros_r_s_11</v>
      </c>
      <c r="C635" t="s">
        <v>4</v>
      </c>
      <c r="D635" t="s">
        <v>68</v>
      </c>
      <c r="E635" t="s">
        <v>69</v>
      </c>
      <c r="F635">
        <f>IF(Manifest[[#This Row],[Segment]]=E634,F634+1,1)</f>
        <v>11</v>
      </c>
      <c r="G635" t="str">
        <f>"Ros_"&amp;Manifest[[#This Row],[Day]]&amp;"_"&amp;Manifest[[#This Row],[Segment]]&amp;"_"&amp;TEXT(Manifest[[#This Row],[Seq]],"00")</f>
        <v>Ros_r_s_11</v>
      </c>
    </row>
    <row r="636" spans="1:7" x14ac:dyDescent="0.25">
      <c r="A636" t="s">
        <v>28</v>
      </c>
      <c r="B636" t="str">
        <f>Manifest[[#This Row],[newID]]</f>
        <v>Ros_r_s_12</v>
      </c>
      <c r="C636" t="s">
        <v>4</v>
      </c>
      <c r="D636" t="s">
        <v>68</v>
      </c>
      <c r="E636" t="s">
        <v>69</v>
      </c>
      <c r="F636">
        <f>IF(Manifest[[#This Row],[Segment]]=E635,F635+1,1)</f>
        <v>12</v>
      </c>
      <c r="G636" t="str">
        <f>"Ros_"&amp;Manifest[[#This Row],[Day]]&amp;"_"&amp;Manifest[[#This Row],[Segment]]&amp;"_"&amp;TEXT(Manifest[[#This Row],[Seq]],"00")</f>
        <v>Ros_r_s_12</v>
      </c>
    </row>
    <row r="637" spans="1:7" x14ac:dyDescent="0.25">
      <c r="A637" t="s">
        <v>70</v>
      </c>
      <c r="B637" t="str">
        <f>Manifest[[#This Row],[newID]]</f>
        <v>Ros_r_s_13</v>
      </c>
      <c r="C637" t="s">
        <v>4</v>
      </c>
      <c r="D637" t="s">
        <v>68</v>
      </c>
      <c r="E637" t="s">
        <v>69</v>
      </c>
      <c r="F637">
        <f>IF(Manifest[[#This Row],[Segment]]=E636,F636+1,1)</f>
        <v>13</v>
      </c>
      <c r="G637" t="str">
        <f>"Ros_"&amp;Manifest[[#This Row],[Day]]&amp;"_"&amp;Manifest[[#This Row],[Segment]]&amp;"_"&amp;TEXT(Manifest[[#This Row],[Seq]],"00")</f>
        <v>Ros_r_s_13</v>
      </c>
    </row>
    <row r="638" spans="1:7" x14ac:dyDescent="0.25">
      <c r="A638" t="s">
        <v>29</v>
      </c>
      <c r="B638" t="str">
        <f>Manifest[[#This Row],[newID]]</f>
        <v>Ros_r_s_14</v>
      </c>
      <c r="C638" t="s">
        <v>4</v>
      </c>
      <c r="D638" t="s">
        <v>68</v>
      </c>
      <c r="E638" t="s">
        <v>69</v>
      </c>
      <c r="F638">
        <f>IF(Manifest[[#This Row],[Segment]]=E637,F637+1,1)</f>
        <v>14</v>
      </c>
      <c r="G638" t="str">
        <f>"Ros_"&amp;Manifest[[#This Row],[Day]]&amp;"_"&amp;Manifest[[#This Row],[Segment]]&amp;"_"&amp;TEXT(Manifest[[#This Row],[Seq]],"00")</f>
        <v>Ros_r_s_14</v>
      </c>
    </row>
    <row r="639" spans="1:7" x14ac:dyDescent="0.25">
      <c r="A639" t="s">
        <v>30</v>
      </c>
      <c r="B639" t="str">
        <f>Manifest[[#This Row],[newID]]</f>
        <v>Ros_r_s_15</v>
      </c>
      <c r="C639" t="s">
        <v>4</v>
      </c>
      <c r="D639" t="s">
        <v>68</v>
      </c>
      <c r="E639" t="s">
        <v>69</v>
      </c>
      <c r="F639">
        <f>IF(Manifest[[#This Row],[Segment]]=E638,F638+1,1)</f>
        <v>15</v>
      </c>
      <c r="G639" t="str">
        <f>"Ros_"&amp;Manifest[[#This Row],[Day]]&amp;"_"&amp;Manifest[[#This Row],[Segment]]&amp;"_"&amp;TEXT(Manifest[[#This Row],[Seq]],"00")</f>
        <v>Ros_r_s_15</v>
      </c>
    </row>
    <row r="640" spans="1:7" x14ac:dyDescent="0.25">
      <c r="A640" t="s">
        <v>31</v>
      </c>
      <c r="B640" t="str">
        <f>Manifest[[#This Row],[newID]]</f>
        <v>Ros_r_s_16</v>
      </c>
      <c r="C640" t="s">
        <v>4</v>
      </c>
      <c r="D640" t="s">
        <v>68</v>
      </c>
      <c r="E640" t="s">
        <v>69</v>
      </c>
      <c r="F640">
        <f>IF(Manifest[[#This Row],[Segment]]=E639,F639+1,1)</f>
        <v>16</v>
      </c>
      <c r="G640" t="str">
        <f>"Ros_"&amp;Manifest[[#This Row],[Day]]&amp;"_"&amp;Manifest[[#This Row],[Segment]]&amp;"_"&amp;TEXT(Manifest[[#This Row],[Seq]],"00")</f>
        <v>Ros_r_s_16</v>
      </c>
    </row>
    <row r="641" spans="1:7" x14ac:dyDescent="0.25">
      <c r="A641" t="s">
        <v>52</v>
      </c>
      <c r="B641" t="s">
        <v>75</v>
      </c>
      <c r="C641" t="s">
        <v>53</v>
      </c>
      <c r="D641" s="1" t="s">
        <v>67</v>
      </c>
      <c r="E641" s="1" t="s">
        <v>72</v>
      </c>
      <c r="F641">
        <f>IF(Manifest[[#This Row],[Segment]]=E640,F640+1,1)</f>
        <v>1</v>
      </c>
      <c r="G641" t="str">
        <f>"Ros_"&amp;Manifest[[#This Row],[Day]]&amp;"_"&amp;Manifest[[#This Row],[Segment]]&amp;"_"&amp;TEXT(Manifest[[#This Row],[Seq]],"00")</f>
        <v>Ros_b_e_01</v>
      </c>
    </row>
    <row r="642" spans="1:7" x14ac:dyDescent="0.25">
      <c r="A642" t="s">
        <v>54</v>
      </c>
      <c r="B642" t="s">
        <v>77</v>
      </c>
      <c r="C642" t="s">
        <v>55</v>
      </c>
      <c r="D642" s="1" t="s">
        <v>67</v>
      </c>
      <c r="E642" s="1" t="s">
        <v>72</v>
      </c>
      <c r="F642">
        <f>IF(Manifest[[#This Row],[Segment]]=E641,F641+1,1)</f>
        <v>2</v>
      </c>
      <c r="G642" t="str">
        <f>"Ros_"&amp;Manifest[[#This Row],[Day]]&amp;"_"&amp;Manifest[[#This Row],[Segment]]&amp;"_"&amp;TEXT(Manifest[[#This Row],[Seq]],"00")</f>
        <v>Ros_b_e_02</v>
      </c>
    </row>
    <row r="643" spans="1:7" x14ac:dyDescent="0.25">
      <c r="A643" t="s">
        <v>56</v>
      </c>
      <c r="B643" t="s">
        <v>76</v>
      </c>
      <c r="C643" t="s">
        <v>4</v>
      </c>
      <c r="D643" s="1" t="s">
        <v>67</v>
      </c>
      <c r="E643" s="1" t="s">
        <v>72</v>
      </c>
      <c r="F643">
        <f>IF(Manifest[[#This Row],[Segment]]=E642,F642+1,1)</f>
        <v>3</v>
      </c>
      <c r="G643" t="str">
        <f>"Ros_"&amp;Manifest[[#This Row],[Day]]&amp;"_"&amp;Manifest[[#This Row],[Segment]]&amp;"_"&amp;TEXT(Manifest[[#This Row],[Seq]],"00")</f>
        <v>Ros_b_e_03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EB3BE8-CA23-4038-BD6C-6B5798818C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Manifest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Rolf Eleveld</cp:lastModifiedBy>
  <dcterms:created xsi:type="dcterms:W3CDTF">2026-09-06T09:18:27Z</dcterms:created>
  <dcterms:modified xsi:type="dcterms:W3CDTF">2026-09-06T12:29:55Z</dcterms:modified>
</cp:coreProperties>
</file>